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 defaultThemeVersion="124226"/>
  <xr:revisionPtr revIDLastSave="0" documentId="13_ncr:1_{176FDE00-97C7-4366-BAFA-0C32AF8ED573}" xr6:coauthVersionLast="47" xr6:coauthVersionMax="47" xr10:uidLastSave="{00000000-0000-0000-0000-000000000000}"/>
  <bookViews>
    <workbookView xWindow="-110" yWindow="-110" windowWidth="19420" windowHeight="11500" firstSheet="11" activeTab="15" xr2:uid="{00000000-000D-0000-FFFF-FFFF00000000}"/>
  </bookViews>
  <sheets>
    <sheet name="Macro1" sheetId="2" r:id="rId1"/>
    <sheet name="CustomerList" sheetId="1" r:id="rId2"/>
    <sheet name="SofaModel" sheetId="5" r:id="rId3"/>
    <sheet name="SupplierList" sheetId="6" r:id="rId4"/>
    <sheet name="LabourList" sheetId="10" r:id="rId5"/>
    <sheet name="RawMaterials" sheetId="7" r:id="rId6"/>
    <sheet name="SalesData" sheetId="4" r:id="rId7"/>
    <sheet name="PurchaseData" sheetId="8" r:id="rId8"/>
    <sheet name="PaymentData" sheetId="9" r:id="rId9"/>
    <sheet name="ProductionData" sheetId="11" r:id="rId10"/>
    <sheet name="RawMaterialStock" sheetId="12" r:id="rId11"/>
    <sheet name="FinishedStock" sheetId="14" r:id="rId12"/>
    <sheet name="BOM" sheetId="13" r:id="rId13"/>
    <sheet name="OutstandingLedger" sheetId="15" r:id="rId14"/>
    <sheet name="ExpenseData" sheetId="16" r:id="rId15"/>
    <sheet name="CashLedger" sheetId="17" r:id="rId16"/>
  </sheets>
  <definedNames>
    <definedName name="_xlnm._FilterDatabase" localSheetId="12" hidden="1">BOM!$B$1:$B$357</definedName>
    <definedName name="_xlnm._FilterDatabase" localSheetId="1" hidden="1">CustomerList!$A$1:$A$1</definedName>
    <definedName name="_xlnm._FilterDatabase" localSheetId="11" hidden="1">FinishedStock!$B$1:$B$67</definedName>
    <definedName name="_xlnm._FilterDatabase" localSheetId="13" hidden="1">OutstandingLedger!$B$1:$B$84</definedName>
    <definedName name="_xlnm._FilterDatabase" localSheetId="9" hidden="1">ProductionData!$C$1:$C$7</definedName>
    <definedName name="_xlnm._FilterDatabase" localSheetId="7" hidden="1">PurchaseData!$D$1:$D$35</definedName>
    <definedName name="_xlnm._FilterDatabase" localSheetId="5" hidden="1">RawMaterials!$A$1:$A$31</definedName>
    <definedName name="_xlnm._FilterDatabase" localSheetId="10" hidden="1">RawMaterialStock!$B$1:$B$1274</definedName>
    <definedName name="_xlnm._FilterDatabase" localSheetId="6" hidden="1">SalesData!$A$1:$B$1</definedName>
    <definedName name="_xlpm.c" hidden="1" xlm="1">#NAME?</definedName>
    <definedName name="_xlpm.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6" i="13" l="1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" i="13"/>
</calcChain>
</file>

<file path=xl/sharedStrings.xml><?xml version="1.0" encoding="utf-8"?>
<sst xmlns="http://schemas.openxmlformats.org/spreadsheetml/2006/main" count="2788" uniqueCount="177">
  <si>
    <t>Date</t>
  </si>
  <si>
    <t>Customer</t>
  </si>
  <si>
    <t>Sofa Model</t>
  </si>
  <si>
    <t>quantity</t>
  </si>
  <si>
    <t>Rate</t>
  </si>
  <si>
    <t>Amount</t>
  </si>
  <si>
    <t>Jhoomer</t>
  </si>
  <si>
    <t>Small Duck</t>
  </si>
  <si>
    <t>Big Duck</t>
  </si>
  <si>
    <t>Aman</t>
  </si>
  <si>
    <t>W Jhoomer</t>
  </si>
  <si>
    <t>Mauali</t>
  </si>
  <si>
    <t>Fancy</t>
  </si>
  <si>
    <t>New Model</t>
  </si>
  <si>
    <t>Suppliers</t>
  </si>
  <si>
    <t>Raw Materials</t>
  </si>
  <si>
    <t>Frame</t>
  </si>
  <si>
    <t>pcs</t>
  </si>
  <si>
    <t>Fabric</t>
  </si>
  <si>
    <t>Meter</t>
  </si>
  <si>
    <t>Raxin</t>
  </si>
  <si>
    <t>Foam</t>
  </si>
  <si>
    <t>Kg</t>
  </si>
  <si>
    <t>LD</t>
  </si>
  <si>
    <t>Pcs</t>
  </si>
  <si>
    <t>EP sheet 40 mm</t>
  </si>
  <si>
    <t>EP 20 mm</t>
  </si>
  <si>
    <t>EP roll</t>
  </si>
  <si>
    <t>Nails-Kaati</t>
  </si>
  <si>
    <t>kg</t>
  </si>
  <si>
    <t>Hook</t>
  </si>
  <si>
    <t>Diamond Button</t>
  </si>
  <si>
    <t>Topi kati</t>
  </si>
  <si>
    <t>Thread-button</t>
  </si>
  <si>
    <t>Thread-Silai</t>
  </si>
  <si>
    <t>Ster-Roto</t>
  </si>
  <si>
    <t>meter</t>
  </si>
  <si>
    <t>Mewar</t>
  </si>
  <si>
    <t>Zig zag</t>
  </si>
  <si>
    <t>Fiber</t>
  </si>
  <si>
    <t>Pin - 1013</t>
  </si>
  <si>
    <t>Khujja</t>
  </si>
  <si>
    <t>Steel Jaali</t>
  </si>
  <si>
    <t>Sqft</t>
  </si>
  <si>
    <t>Adhesive</t>
  </si>
  <si>
    <t>litre</t>
  </si>
  <si>
    <t>Sofa leg - paya</t>
  </si>
  <si>
    <t>Ster - Crape</t>
  </si>
  <si>
    <t>Fashion Dori</t>
  </si>
  <si>
    <t>Capsule button</t>
  </si>
  <si>
    <t>Elastic belt</t>
  </si>
  <si>
    <t>Piping Dori</t>
  </si>
  <si>
    <t>53 Handle</t>
  </si>
  <si>
    <t>Box</t>
  </si>
  <si>
    <t>Screw</t>
  </si>
  <si>
    <t>Unit</t>
  </si>
  <si>
    <t>Other</t>
  </si>
  <si>
    <t>53 Number/Gyana/Grip</t>
  </si>
  <si>
    <t>Pan Aman</t>
  </si>
  <si>
    <t>W</t>
  </si>
  <si>
    <t>Mango</t>
  </si>
  <si>
    <t>Corner 7 Seater</t>
  </si>
  <si>
    <t>Puffy</t>
  </si>
  <si>
    <t>Table 22*44</t>
  </si>
  <si>
    <t>Table 32*32</t>
  </si>
  <si>
    <t>Supplier Name</t>
  </si>
  <si>
    <t>Invoice Number</t>
  </si>
  <si>
    <t>Item Name</t>
  </si>
  <si>
    <t>Quantity</t>
  </si>
  <si>
    <t>Price</t>
  </si>
  <si>
    <t>Remarks</t>
  </si>
  <si>
    <t>Enter quantity in pecies</t>
  </si>
  <si>
    <t>Enter quantity in meter</t>
  </si>
  <si>
    <t>Enter quantity in kg</t>
  </si>
  <si>
    <t>Enter quantity in litre</t>
  </si>
  <si>
    <t>Enter quantity in box</t>
  </si>
  <si>
    <t>Enter quantity in square feet</t>
  </si>
  <si>
    <t>Transaction Type</t>
  </si>
  <si>
    <t>Party</t>
  </si>
  <si>
    <t>Mode</t>
  </si>
  <si>
    <t>Labour</t>
  </si>
  <si>
    <t>Type</t>
  </si>
  <si>
    <t>Sofa</t>
  </si>
  <si>
    <t>Data</t>
  </si>
  <si>
    <t>Item Type</t>
  </si>
  <si>
    <t>Labour Team</t>
  </si>
  <si>
    <t>Sofa labour cost</t>
  </si>
  <si>
    <t>Frame labour cost</t>
  </si>
  <si>
    <t>Text beside the Price on the Purchase Entry Form</t>
  </si>
  <si>
    <t>Text beside the quatity on the purchase Entry form</t>
  </si>
  <si>
    <t>Enter quantity in piece</t>
  </si>
  <si>
    <t>The price is per piece</t>
  </si>
  <si>
    <t>The price is per meter</t>
  </si>
  <si>
    <t>The price is per kg</t>
  </si>
  <si>
    <t>The price is per letre</t>
  </si>
  <si>
    <t>The price is per square feet</t>
  </si>
  <si>
    <t>The price is per box</t>
  </si>
  <si>
    <t>Sofa Sale Price</t>
  </si>
  <si>
    <t>Material</t>
  </si>
  <si>
    <t>InQty</t>
  </si>
  <si>
    <t>OutQty</t>
  </si>
  <si>
    <t>Balance</t>
  </si>
  <si>
    <t>Article</t>
  </si>
  <si>
    <t>Sofa Type</t>
  </si>
  <si>
    <t>Raw Material</t>
  </si>
  <si>
    <t>Quantity per unit</t>
  </si>
  <si>
    <t>Fabric/Raxin</t>
  </si>
  <si>
    <t>Beat</t>
  </si>
  <si>
    <t>Runft</t>
  </si>
  <si>
    <t>Frame Pin</t>
  </si>
  <si>
    <t>Plywood</t>
  </si>
  <si>
    <t>Joota Kaati</t>
  </si>
  <si>
    <t>Cutter blade</t>
  </si>
  <si>
    <t>Model</t>
  </si>
  <si>
    <t>Sofa/Frmae Model</t>
  </si>
  <si>
    <t>Raw M Purchase Price</t>
  </si>
  <si>
    <t>Debit</t>
  </si>
  <si>
    <t>Credit</t>
  </si>
  <si>
    <t>Customer Name</t>
  </si>
  <si>
    <t>Address</t>
  </si>
  <si>
    <t>Contact Number</t>
  </si>
  <si>
    <t>GST</t>
  </si>
  <si>
    <t>Contact</t>
  </si>
  <si>
    <t>Team Type</t>
  </si>
  <si>
    <t>Enter quantity in Runft</t>
  </si>
  <si>
    <t>The price is per running feet</t>
  </si>
  <si>
    <t>Cost</t>
  </si>
  <si>
    <t>Expense Type</t>
  </si>
  <si>
    <t>Payment Mode</t>
  </si>
  <si>
    <t>Payee/Party</t>
  </si>
  <si>
    <t>Salary</t>
  </si>
  <si>
    <t>Diesel/Petrol</t>
  </si>
  <si>
    <t>Electricity</t>
  </si>
  <si>
    <t>Labour/Loading/Road Exp</t>
  </si>
  <si>
    <t>Water/Snacks/Medicine</t>
  </si>
  <si>
    <t>Machinaries Related</t>
  </si>
  <si>
    <t>Rent</t>
  </si>
  <si>
    <t>Transport Charges</t>
  </si>
  <si>
    <t>Packing Material</t>
  </si>
  <si>
    <t>Source/Party</t>
  </si>
  <si>
    <t>Source Sheet</t>
  </si>
  <si>
    <t>Pintu bhai Salempur</t>
  </si>
  <si>
    <t>Salempur</t>
  </si>
  <si>
    <t>Aman Sohagra</t>
  </si>
  <si>
    <t>Sohagra Dham</t>
  </si>
  <si>
    <t>Laxmi Katya</t>
  </si>
  <si>
    <t>Katya</t>
  </si>
  <si>
    <t>Vishal Salempur</t>
  </si>
  <si>
    <t>OM Furniture Line Bazar</t>
  </si>
  <si>
    <t>Line Bazar</t>
  </si>
  <si>
    <t>Lari Hardware</t>
  </si>
  <si>
    <t>Lar</t>
  </si>
  <si>
    <t>Divyanshi Lar</t>
  </si>
  <si>
    <t>Vishwakarma Salempur</t>
  </si>
  <si>
    <t>Larex Kanpur</t>
  </si>
  <si>
    <t>Kanpur</t>
  </si>
  <si>
    <t>Sultan</t>
  </si>
  <si>
    <t>Gonda</t>
  </si>
  <si>
    <t>Meraj Carpenter</t>
  </si>
  <si>
    <t>Infan Carpenter</t>
  </si>
  <si>
    <t>Kolkata</t>
  </si>
  <si>
    <t>Golu</t>
  </si>
  <si>
    <t>Arbaz</t>
  </si>
  <si>
    <t>Zakir</t>
  </si>
  <si>
    <t>Ashique</t>
  </si>
  <si>
    <t>INV001</t>
  </si>
  <si>
    <t>Supplier</t>
  </si>
  <si>
    <t>INV002</t>
  </si>
  <si>
    <t>INV003</t>
  </si>
  <si>
    <t>INV004</t>
  </si>
  <si>
    <t>Online</t>
  </si>
  <si>
    <t>Cash</t>
  </si>
  <si>
    <t>OUT</t>
  </si>
  <si>
    <t>ExpenseData</t>
  </si>
  <si>
    <t>IN</t>
  </si>
  <si>
    <t>Jamal</t>
  </si>
  <si>
    <t>OwnerCash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</si>
</sst>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/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5" fontId="0" fillId="0" borderId="1" xfId="0" applyNumberFormat="1" applyBorder="1"/>
    <xf numFmtId="0" fontId="1" fillId="3" borderId="1" xfId="0" applyFont="1" applyFill="1" applyBorder="1"/>
    <xf numFmtId="0" fontId="0" fillId="0" borderId="2" xfId="0" applyBorder="1"/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14" fontId="0" fillId="0" borderId="1" xfId="0" applyNumberFormat="1" applyBorder="1"/>
    <xf numFmtId="0" fontId="3" fillId="0" borderId="1" xfId="0" applyFont="1" applyBorder="1"/>
    <xf numFmtId="0" fontId="1" fillId="4" borderId="1" xfId="0" applyFont="1" applyFill="1" applyBorder="1"/>
    <xf numFmtId="0" fontId="0" fillId="4" borderId="1" xfId="0" applyFill="1" applyBorder="1"/>
    <xf numFmtId="15" fontId="3" fillId="0" borderId="1" xfId="0" applyNumberFormat="1" applyFont="1" applyBorder="1"/>
    <xf numFmtId="0" fontId="1" fillId="5" borderId="1" xfId="0" applyFont="1" applyFill="1" applyBorder="1"/>
    <xf numFmtId="0" fontId="1" fillId="3" borderId="5" xfId="0" applyFont="1" applyFill="1" applyBorder="1"/>
    <xf numFmtId="15" fontId="1" fillId="3" borderId="1" xfId="0" applyNumberFormat="1" applyFont="1" applyFill="1" applyBorder="1"/>
    <xf numFmtId="0" fontId="1" fillId="0" borderId="1" xfId="0" applyFont="1" applyBorder="1"/>
    <xf numFmtId="0" fontId="2" fillId="0" borderId="6" xfId="0" applyFont="1" applyBorder="1" applyAlignment="1">
      <alignment wrapText="1"/>
    </xf>
    <xf numFmtId="3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7973BFA-665E-4583-AEB5-A04FAD3BA23E}">
  <dimension ref="A1"/>
  <sheetViews>
    <sheetView showFormulas="1" workbookViewId="0">
      <selection activeCell="C7" sqref="C7"/>
    </sheetView>
  </sheetViews>
  <sheetFormatPr defaultRowHeight="14.5" x14ac:dyDescent="0.35"/>
  <sheetData/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"/>
  <sheetViews>
    <sheetView workbookViewId="0">
      <selection activeCell="B19" sqref="B19"/>
    </sheetView>
  </sheetViews>
  <sheetFormatPr defaultRowHeight="14.5" x14ac:dyDescent="0.35"/>
  <cols>
    <col min="1" max="1" width="33.90625" style="1" customWidth="1"/>
    <col min="2" max="2" width="19.7265625" style="1" customWidth="1"/>
    <col min="3" max="3" width="19.26953125" style="1" customWidth="1"/>
    <col min="4" max="4" width="20.08984375" style="1" customWidth="1"/>
    <col min="5" max="16384" width="8.7265625" style="1"/>
  </cols>
  <sheetData>
    <row r="1" spans="1:4" x14ac:dyDescent="0.35">
      <c r="A1" s="2" t="s">
        <v>118</v>
      </c>
      <c r="B1" s="2" t="s">
        <v>119</v>
      </c>
      <c r="C1" s="2" t="s">
        <v>120</v>
      </c>
      <c r="D1" s="2" t="s">
        <v>121</v>
      </c>
    </row>
    <row r="2" spans="1:4" x14ac:dyDescent="0.35">
      <c r="A2" s="1" t="s">
        <v>141</v>
      </c>
      <c r="B2" s="1" t="s">
        <v>142</v>
      </c>
    </row>
    <row r="3" spans="1:4" x14ac:dyDescent="0.35">
      <c r="A3" s="1" t="s">
        <v>143</v>
      </c>
      <c r="B3" s="1" t="s">
        <v>144</v>
      </c>
    </row>
    <row r="4" spans="1:4" x14ac:dyDescent="0.35">
      <c r="A4" s="1" t="s">
        <v>145</v>
      </c>
      <c r="B4" s="1" t="s">
        <v>146</v>
      </c>
    </row>
    <row r="5" spans="1:4" x14ac:dyDescent="0.35">
      <c r="A5" s="1" t="s">
        <v>147</v>
      </c>
      <c r="B5" s="1" t="s">
        <v>142</v>
      </c>
    </row>
    <row r="6" spans="1:4" x14ac:dyDescent="0.35">
      <c r="A6" s="1" t="s">
        <v>148</v>
      </c>
      <c r="B6" s="1" t="s">
        <v>149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F768-9070-437A-A1C8-E8DA4BFE25D1}">
  <sheetPr codeName="Sheet3"/>
  <dimension ref="A1:E19"/>
  <sheetViews>
    <sheetView workbookViewId="0">
      <selection activeCell="A2" sqref="A2"/>
    </sheetView>
  </sheetViews>
  <sheetFormatPr defaultRowHeight="14.5" x14ac:dyDescent="0.35"/>
  <cols>
    <col min="1" max="1" width="30.54296875" style="1" customWidth="1"/>
    <col min="2" max="2" width="16.26953125" bestFit="1" customWidth="1"/>
    <col min="3" max="3" width="14.26953125" bestFit="1" customWidth="1"/>
    <col min="4" max="4" width="12.90625" bestFit="1" customWidth="1"/>
    <col min="5" max="5" width="22.7265625" bestFit="1" customWidth="1"/>
  </cols>
  <sheetData>
    <row r="1" spans="1:5" x14ac:dyDescent="0.35">
      <c r="A1" s="4" t="s">
        <v>114</v>
      </c>
      <c r="B1" s="4" t="s">
        <v>87</v>
      </c>
      <c r="C1" s="4" t="s">
        <v>86</v>
      </c>
      <c r="D1" s="4" t="s">
        <v>97</v>
      </c>
      <c r="E1" s="16" t="s">
        <v>127</v>
      </c>
    </row>
    <row r="2" spans="1:5" x14ac:dyDescent="0.35">
      <c r="A2" s="1" t="s">
        <v>57</v>
      </c>
      <c r="B2" s="1">
        <v>450</v>
      </c>
      <c r="C2" s="1">
        <v>2100</v>
      </c>
      <c r="D2" s="1">
        <v>17000</v>
      </c>
      <c r="E2" t="s">
        <v>130</v>
      </c>
    </row>
    <row r="3" spans="1:5" x14ac:dyDescent="0.35">
      <c r="A3" s="1" t="s">
        <v>9</v>
      </c>
      <c r="B3" s="1">
        <v>450</v>
      </c>
      <c r="C3" s="1">
        <v>1800</v>
      </c>
      <c r="D3" s="1">
        <v>11500</v>
      </c>
      <c r="E3" t="s">
        <v>131</v>
      </c>
    </row>
    <row r="4" spans="1:5" x14ac:dyDescent="0.35">
      <c r="A4" s="1" t="s">
        <v>58</v>
      </c>
      <c r="B4" s="1">
        <v>450</v>
      </c>
      <c r="C4" s="1">
        <v>1800</v>
      </c>
      <c r="D4" s="1">
        <v>12000</v>
      </c>
      <c r="E4" t="s">
        <v>132</v>
      </c>
    </row>
    <row r="5" spans="1:5" x14ac:dyDescent="0.35">
      <c r="A5" s="1" t="s">
        <v>8</v>
      </c>
      <c r="B5" s="1">
        <v>450</v>
      </c>
      <c r="C5" s="1">
        <v>1700</v>
      </c>
      <c r="D5" s="1">
        <v>12000</v>
      </c>
      <c r="E5" t="s">
        <v>137</v>
      </c>
    </row>
    <row r="6" spans="1:5" x14ac:dyDescent="0.35">
      <c r="A6" s="1" t="s">
        <v>7</v>
      </c>
      <c r="B6" s="1">
        <v>350</v>
      </c>
      <c r="C6" s="1">
        <v>1700</v>
      </c>
      <c r="D6" s="1">
        <v>9000</v>
      </c>
      <c r="E6" t="s">
        <v>133</v>
      </c>
    </row>
    <row r="7" spans="1:5" x14ac:dyDescent="0.35">
      <c r="A7" s="1" t="s">
        <v>59</v>
      </c>
      <c r="B7" s="1">
        <v>350</v>
      </c>
      <c r="C7" s="1">
        <v>800</v>
      </c>
      <c r="D7" s="1">
        <v>7500</v>
      </c>
      <c r="E7" t="s">
        <v>134</v>
      </c>
    </row>
    <row r="8" spans="1:5" x14ac:dyDescent="0.35">
      <c r="A8" s="1" t="s">
        <v>11</v>
      </c>
      <c r="B8" s="1">
        <v>450</v>
      </c>
      <c r="C8" s="1">
        <v>2200</v>
      </c>
      <c r="D8" s="1">
        <v>19000</v>
      </c>
      <c r="E8" t="s">
        <v>135</v>
      </c>
    </row>
    <row r="9" spans="1:5" x14ac:dyDescent="0.35">
      <c r="A9" s="1" t="s">
        <v>60</v>
      </c>
      <c r="B9" s="1">
        <v>450</v>
      </c>
      <c r="C9" s="1">
        <v>2200</v>
      </c>
      <c r="D9" s="1">
        <v>22000</v>
      </c>
      <c r="E9" t="s">
        <v>136</v>
      </c>
    </row>
    <row r="10" spans="1:5" x14ac:dyDescent="0.35">
      <c r="A10" s="1" t="s">
        <v>6</v>
      </c>
      <c r="B10" s="1">
        <v>400</v>
      </c>
      <c r="C10" s="1">
        <v>1100</v>
      </c>
      <c r="D10" s="1">
        <v>9000</v>
      </c>
      <c r="E10" t="s">
        <v>138</v>
      </c>
    </row>
    <row r="11" spans="1:5" x14ac:dyDescent="0.35">
      <c r="A11" s="1" t="s">
        <v>10</v>
      </c>
      <c r="B11" s="1">
        <v>400</v>
      </c>
      <c r="C11" s="1">
        <v>1000</v>
      </c>
      <c r="D11" s="1">
        <v>8000</v>
      </c>
    </row>
    <row r="12" spans="1:5" x14ac:dyDescent="0.35">
      <c r="A12" s="1" t="s">
        <v>61</v>
      </c>
      <c r="B12" s="1">
        <v>800</v>
      </c>
      <c r="C12" s="1">
        <v>3500</v>
      </c>
      <c r="D12" s="1">
        <v>26000</v>
      </c>
    </row>
    <row r="13" spans="1:5" x14ac:dyDescent="0.35">
      <c r="A13" s="1" t="s">
        <v>62</v>
      </c>
      <c r="B13" s="1">
        <v>50</v>
      </c>
      <c r="C13" s="1">
        <v>250</v>
      </c>
      <c r="D13" s="1">
        <v>500</v>
      </c>
    </row>
    <row r="14" spans="1:5" x14ac:dyDescent="0.35">
      <c r="A14" s="1" t="s">
        <v>63</v>
      </c>
      <c r="B14" s="1">
        <v>100</v>
      </c>
      <c r="C14" s="1">
        <v>500</v>
      </c>
      <c r="D14" s="1">
        <v>2500</v>
      </c>
    </row>
    <row r="15" spans="1:5" x14ac:dyDescent="0.35">
      <c r="A15" s="1" t="s">
        <v>64</v>
      </c>
      <c r="B15" s="1">
        <v>100</v>
      </c>
      <c r="C15" s="1">
        <v>500</v>
      </c>
      <c r="D15" s="1">
        <v>2500</v>
      </c>
    </row>
    <row r="16" spans="1:5" x14ac:dyDescent="0.35">
      <c r="A16" s="1" t="s">
        <v>12</v>
      </c>
      <c r="B16" s="1">
        <v>450</v>
      </c>
      <c r="C16" s="1">
        <v>2200</v>
      </c>
      <c r="D16" s="1">
        <v>19000</v>
      </c>
    </row>
    <row r="17" spans="1:4" x14ac:dyDescent="0.35">
      <c r="A17" s="1" t="s">
        <v>13</v>
      </c>
      <c r="B17" s="1">
        <v>500</v>
      </c>
      <c r="C17" s="1">
        <v>2500</v>
      </c>
      <c r="D17" s="1">
        <v>20000</v>
      </c>
    </row>
    <row r="18" spans="1:4" x14ac:dyDescent="0.35">
      <c r="A18" s="1" t="s">
        <v>56</v>
      </c>
      <c r="B18" s="1"/>
      <c r="C18" s="1"/>
      <c r="D18" s="1"/>
    </row>
    <row r="19" spans="1:4" x14ac:dyDescent="0.35">
      <c r="A19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BB45F-537B-4615-9A9C-45EFB966D339}">
  <sheetPr codeName="Sheet4"/>
  <dimension ref="A1:D5"/>
  <sheetViews>
    <sheetView workbookViewId="0">
      <selection activeCell="C14" sqref="C14"/>
    </sheetView>
  </sheetViews>
  <sheetFormatPr defaultRowHeight="14.5" x14ac:dyDescent="0.35"/>
  <cols>
    <col min="1" max="1" width="23.26953125" style="1" customWidth="1"/>
    <col min="2" max="2" width="24.7265625" style="1" customWidth="1"/>
    <col min="3" max="3" width="23.1796875" style="1" customWidth="1"/>
    <col min="4" max="4" width="26.6328125" style="1" customWidth="1"/>
    <col min="5" max="16384" width="8.7265625" style="1"/>
  </cols>
  <sheetData>
    <row r="1" spans="1:4" x14ac:dyDescent="0.35">
      <c r="A1" s="12" t="s">
        <v>14</v>
      </c>
      <c r="B1" s="13" t="s">
        <v>119</v>
      </c>
      <c r="C1" s="13" t="s">
        <v>122</v>
      </c>
      <c r="D1" s="13" t="s">
        <v>121</v>
      </c>
    </row>
    <row r="2" spans="1:4" x14ac:dyDescent="0.35">
      <c r="A2" s="1" t="s">
        <v>150</v>
      </c>
      <c r="B2" s="1" t="s">
        <v>151</v>
      </c>
    </row>
    <row r="3" spans="1:4" x14ac:dyDescent="0.35">
      <c r="A3" s="1" t="s">
        <v>152</v>
      </c>
      <c r="B3" s="1" t="s">
        <v>151</v>
      </c>
    </row>
    <row r="4" spans="1:4" x14ac:dyDescent="0.35">
      <c r="A4" s="1" t="s">
        <v>153</v>
      </c>
      <c r="B4" s="1" t="s">
        <v>142</v>
      </c>
    </row>
    <row r="5" spans="1:4" x14ac:dyDescent="0.35">
      <c r="A5" s="1" t="s">
        <v>154</v>
      </c>
      <c r="B5" s="1" t="s">
        <v>155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E791-115C-41FC-B65E-B9F265B36F5F}">
  <sheetPr codeName="Sheet8"/>
  <dimension ref="A1:D8"/>
  <sheetViews>
    <sheetView workbookViewId="0">
      <selection activeCell="B16" sqref="B16"/>
    </sheetView>
  </sheetViews>
  <sheetFormatPr defaultRowHeight="14.5" x14ac:dyDescent="0.35"/>
  <cols>
    <col min="1" max="1" width="18.1796875" style="1" customWidth="1"/>
    <col min="2" max="2" width="15.36328125" style="1" customWidth="1"/>
    <col min="3" max="3" width="8.7265625" style="1"/>
    <col min="4" max="4" width="16" style="1" customWidth="1"/>
    <col min="5" max="16384" width="8.7265625" style="1"/>
  </cols>
  <sheetData>
    <row r="1" spans="1:4" x14ac:dyDescent="0.35">
      <c r="A1" s="15" t="s">
        <v>80</v>
      </c>
      <c r="B1" s="15" t="s">
        <v>123</v>
      </c>
      <c r="C1" s="15" t="s">
        <v>119</v>
      </c>
      <c r="D1" s="15" t="s">
        <v>122</v>
      </c>
    </row>
    <row r="2" spans="1:4" x14ac:dyDescent="0.35">
      <c r="A2" s="1" t="s">
        <v>156</v>
      </c>
      <c r="B2" s="1" t="s">
        <v>82</v>
      </c>
      <c r="C2" s="1" t="s">
        <v>157</v>
      </c>
    </row>
    <row r="3" spans="1:4" x14ac:dyDescent="0.35">
      <c r="A3" s="1" t="s">
        <v>158</v>
      </c>
      <c r="B3" s="1" t="s">
        <v>16</v>
      </c>
      <c r="C3" s="1" t="s">
        <v>157</v>
      </c>
    </row>
    <row r="4" spans="1:4" x14ac:dyDescent="0.35">
      <c r="A4" s="1" t="s">
        <v>159</v>
      </c>
      <c r="B4" s="1" t="s">
        <v>16</v>
      </c>
      <c r="C4" s="1" t="s">
        <v>160</v>
      </c>
    </row>
    <row r="5" spans="1:4" x14ac:dyDescent="0.35">
      <c r="A5" s="1" t="s">
        <v>161</v>
      </c>
      <c r="B5" s="1" t="s">
        <v>82</v>
      </c>
      <c r="C5" s="1" t="s">
        <v>151</v>
      </c>
    </row>
    <row r="6" spans="1:4" x14ac:dyDescent="0.35">
      <c r="A6" s="1" t="s">
        <v>162</v>
      </c>
      <c r="B6" s="1" t="s">
        <v>82</v>
      </c>
      <c r="C6" s="1" t="s">
        <v>151</v>
      </c>
    </row>
    <row r="7" spans="1:4" x14ac:dyDescent="0.35">
      <c r="A7" s="1" t="s">
        <v>163</v>
      </c>
      <c r="B7" s="1" t="s">
        <v>82</v>
      </c>
      <c r="C7" s="1" t="s">
        <v>151</v>
      </c>
    </row>
    <row r="8" spans="1:4" x14ac:dyDescent="0.35">
      <c r="A8" s="1" t="s">
        <v>164</v>
      </c>
      <c r="B8" s="1" t="s">
        <v>16</v>
      </c>
      <c r="C8" s="1" t="s">
        <v>151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BF2BD-9475-4CB0-9241-BC74F2F2B13F}">
  <sheetPr codeName="Sheet5"/>
  <dimension ref="A1:E51"/>
  <sheetViews>
    <sheetView workbookViewId="0">
      <selection activeCell="A8" sqref="A8"/>
    </sheetView>
  </sheetViews>
  <sheetFormatPr defaultRowHeight="14.5" x14ac:dyDescent="0.35"/>
  <cols>
    <col min="1" max="1" width="34.90625" style="1" customWidth="1"/>
    <col min="2" max="2" width="14.08984375" style="1" customWidth="1"/>
    <col min="3" max="3" width="44.26953125" style="1" bestFit="1" customWidth="1"/>
    <col min="4" max="4" width="42.6328125" style="1" bestFit="1" customWidth="1"/>
    <col min="5" max="5" width="18.90625" style="1" bestFit="1" customWidth="1"/>
    <col min="6" max="16384" width="8.7265625" style="1"/>
  </cols>
  <sheetData>
    <row r="1" spans="1:5" x14ac:dyDescent="0.35">
      <c r="A1" s="2" t="s">
        <v>15</v>
      </c>
      <c r="B1" s="2" t="s">
        <v>55</v>
      </c>
      <c r="C1" s="2" t="s">
        <v>89</v>
      </c>
      <c r="D1" s="2" t="s">
        <v>88</v>
      </c>
      <c r="E1" s="2" t="s">
        <v>115</v>
      </c>
    </row>
    <row r="2" spans="1:5" x14ac:dyDescent="0.35">
      <c r="A2" s="1" t="s">
        <v>59</v>
      </c>
      <c r="B2" s="1" t="s">
        <v>17</v>
      </c>
      <c r="C2" s="1" t="s">
        <v>90</v>
      </c>
      <c r="D2" s="1" t="s">
        <v>91</v>
      </c>
      <c r="E2" s="1">
        <v>2200</v>
      </c>
    </row>
    <row r="3" spans="1:5" x14ac:dyDescent="0.35">
      <c r="A3" s="1" t="s">
        <v>18</v>
      </c>
      <c r="B3" s="1" t="s">
        <v>19</v>
      </c>
      <c r="C3" s="1" t="s">
        <v>72</v>
      </c>
      <c r="D3" s="1" t="s">
        <v>92</v>
      </c>
      <c r="E3" s="1">
        <v>60</v>
      </c>
    </row>
    <row r="4" spans="1:5" x14ac:dyDescent="0.35">
      <c r="A4" s="1" t="s">
        <v>20</v>
      </c>
      <c r="B4" s="1" t="s">
        <v>19</v>
      </c>
      <c r="C4" s="1" t="s">
        <v>72</v>
      </c>
      <c r="D4" s="1" t="s">
        <v>92</v>
      </c>
      <c r="E4" s="1">
        <v>75</v>
      </c>
    </row>
    <row r="5" spans="1:5" x14ac:dyDescent="0.35">
      <c r="A5" s="1" t="s">
        <v>21</v>
      </c>
      <c r="B5" s="1" t="s">
        <v>22</v>
      </c>
      <c r="C5" s="1" t="s">
        <v>73</v>
      </c>
      <c r="D5" s="1" t="s">
        <v>93</v>
      </c>
      <c r="E5" s="1">
        <v>200</v>
      </c>
    </row>
    <row r="6" spans="1:5" x14ac:dyDescent="0.35">
      <c r="A6" s="1" t="s">
        <v>23</v>
      </c>
      <c r="B6" s="1" t="s">
        <v>24</v>
      </c>
      <c r="C6" s="1" t="s">
        <v>71</v>
      </c>
      <c r="D6" s="1" t="s">
        <v>91</v>
      </c>
      <c r="E6" s="1">
        <v>100</v>
      </c>
    </row>
    <row r="7" spans="1:5" x14ac:dyDescent="0.35">
      <c r="A7" s="1" t="s">
        <v>25</v>
      </c>
      <c r="B7" s="1" t="s">
        <v>17</v>
      </c>
      <c r="C7" s="1" t="s">
        <v>71</v>
      </c>
      <c r="D7" s="1" t="s">
        <v>91</v>
      </c>
      <c r="E7" s="1">
        <v>150</v>
      </c>
    </row>
    <row r="8" spans="1:5" x14ac:dyDescent="0.35">
      <c r="A8" s="1" t="s">
        <v>26</v>
      </c>
      <c r="B8" s="1" t="s">
        <v>17</v>
      </c>
      <c r="C8" s="1" t="s">
        <v>71</v>
      </c>
      <c r="D8" s="1" t="s">
        <v>91</v>
      </c>
      <c r="E8" s="1">
        <v>120</v>
      </c>
    </row>
    <row r="9" spans="1:5" x14ac:dyDescent="0.35">
      <c r="A9" s="1" t="s">
        <v>27</v>
      </c>
      <c r="B9" s="1" t="s">
        <v>19</v>
      </c>
      <c r="C9" s="1" t="s">
        <v>72</v>
      </c>
      <c r="D9" s="1" t="s">
        <v>92</v>
      </c>
      <c r="E9" s="1">
        <v>60</v>
      </c>
    </row>
    <row r="10" spans="1:5" x14ac:dyDescent="0.35">
      <c r="A10" s="1" t="s">
        <v>28</v>
      </c>
      <c r="B10" s="1" t="s">
        <v>29</v>
      </c>
      <c r="C10" s="1" t="s">
        <v>73</v>
      </c>
      <c r="D10" s="1" t="s">
        <v>93</v>
      </c>
      <c r="E10" s="1">
        <v>100</v>
      </c>
    </row>
    <row r="11" spans="1:5" x14ac:dyDescent="0.35">
      <c r="A11" s="1" t="s">
        <v>30</v>
      </c>
      <c r="B11" s="1" t="s">
        <v>17</v>
      </c>
      <c r="C11" s="1" t="s">
        <v>71</v>
      </c>
      <c r="D11" s="1" t="s">
        <v>91</v>
      </c>
      <c r="E11" s="1">
        <v>5</v>
      </c>
    </row>
    <row r="12" spans="1:5" x14ac:dyDescent="0.35">
      <c r="A12" s="1" t="s">
        <v>31</v>
      </c>
      <c r="B12" s="1" t="s">
        <v>17</v>
      </c>
      <c r="C12" s="1" t="s">
        <v>71</v>
      </c>
      <c r="D12" s="1" t="s">
        <v>91</v>
      </c>
      <c r="E12" s="1">
        <v>5</v>
      </c>
    </row>
    <row r="13" spans="1:5" x14ac:dyDescent="0.35">
      <c r="A13" s="1" t="s">
        <v>32</v>
      </c>
      <c r="B13" s="1" t="s">
        <v>17</v>
      </c>
      <c r="C13" s="1" t="s">
        <v>71</v>
      </c>
      <c r="D13" s="1" t="s">
        <v>91</v>
      </c>
      <c r="E13" s="1">
        <v>10</v>
      </c>
    </row>
    <row r="14" spans="1:5" x14ac:dyDescent="0.35">
      <c r="A14" s="1" t="s">
        <v>33</v>
      </c>
      <c r="B14" s="1" t="s">
        <v>22</v>
      </c>
      <c r="C14" s="1" t="s">
        <v>73</v>
      </c>
      <c r="D14" s="1" t="s">
        <v>93</v>
      </c>
      <c r="E14" s="1">
        <v>200</v>
      </c>
    </row>
    <row r="15" spans="1:5" x14ac:dyDescent="0.35">
      <c r="A15" s="1" t="s">
        <v>34</v>
      </c>
      <c r="B15" s="1" t="s">
        <v>24</v>
      </c>
      <c r="C15" s="1" t="s">
        <v>71</v>
      </c>
      <c r="D15" s="1" t="s">
        <v>91</v>
      </c>
      <c r="E15" s="1">
        <v>200</v>
      </c>
    </row>
    <row r="16" spans="1:5" x14ac:dyDescent="0.35">
      <c r="A16" s="1" t="s">
        <v>35</v>
      </c>
      <c r="B16" s="1" t="s">
        <v>36</v>
      </c>
      <c r="C16" s="1" t="s">
        <v>72</v>
      </c>
      <c r="D16" s="1" t="s">
        <v>92</v>
      </c>
      <c r="E16" s="1">
        <v>20</v>
      </c>
    </row>
    <row r="17" spans="1:5" x14ac:dyDescent="0.35">
      <c r="A17" s="1" t="s">
        <v>37</v>
      </c>
      <c r="B17" s="1" t="s">
        <v>22</v>
      </c>
      <c r="C17" s="1" t="s">
        <v>73</v>
      </c>
      <c r="D17" s="1" t="s">
        <v>93</v>
      </c>
      <c r="E17" s="1">
        <v>30</v>
      </c>
    </row>
    <row r="18" spans="1:5" x14ac:dyDescent="0.35">
      <c r="A18" s="1" t="s">
        <v>38</v>
      </c>
      <c r="B18" s="1" t="s">
        <v>29</v>
      </c>
      <c r="C18" s="1" t="s">
        <v>73</v>
      </c>
      <c r="D18" s="1" t="s">
        <v>93</v>
      </c>
      <c r="E18" s="1">
        <v>120</v>
      </c>
    </row>
    <row r="19" spans="1:5" x14ac:dyDescent="0.35">
      <c r="A19" s="1" t="s">
        <v>39</v>
      </c>
      <c r="B19" s="1" t="s">
        <v>29</v>
      </c>
      <c r="C19" s="1" t="s">
        <v>73</v>
      </c>
      <c r="D19" s="1" t="s">
        <v>93</v>
      </c>
      <c r="E19" s="1">
        <v>90</v>
      </c>
    </row>
    <row r="20" spans="1:5" x14ac:dyDescent="0.35">
      <c r="A20" s="1" t="s">
        <v>40</v>
      </c>
      <c r="B20" s="1" t="s">
        <v>22</v>
      </c>
      <c r="C20" s="1" t="s">
        <v>73</v>
      </c>
      <c r="D20" s="1" t="s">
        <v>93</v>
      </c>
      <c r="E20" s="1">
        <v>125</v>
      </c>
    </row>
    <row r="21" spans="1:5" x14ac:dyDescent="0.35">
      <c r="A21" s="1" t="s">
        <v>41</v>
      </c>
      <c r="B21" s="1" t="s">
        <v>29</v>
      </c>
      <c r="C21" s="1" t="s">
        <v>73</v>
      </c>
      <c r="D21" s="1" t="s">
        <v>93</v>
      </c>
      <c r="E21" s="1">
        <v>40</v>
      </c>
    </row>
    <row r="22" spans="1:5" x14ac:dyDescent="0.35">
      <c r="A22" s="1" t="s">
        <v>42</v>
      </c>
      <c r="B22" s="1" t="s">
        <v>43</v>
      </c>
      <c r="C22" s="1" t="s">
        <v>76</v>
      </c>
      <c r="D22" s="1" t="s">
        <v>95</v>
      </c>
      <c r="E22" s="1">
        <v>100</v>
      </c>
    </row>
    <row r="23" spans="1:5" x14ac:dyDescent="0.35">
      <c r="A23" s="1" t="s">
        <v>44</v>
      </c>
      <c r="B23" s="1" t="s">
        <v>45</v>
      </c>
      <c r="C23" s="1" t="s">
        <v>74</v>
      </c>
      <c r="D23" s="1" t="s">
        <v>94</v>
      </c>
      <c r="E23" s="1">
        <v>165</v>
      </c>
    </row>
    <row r="24" spans="1:5" x14ac:dyDescent="0.35">
      <c r="A24" s="1" t="s">
        <v>46</v>
      </c>
      <c r="B24" s="1" t="s">
        <v>17</v>
      </c>
      <c r="C24" s="1" t="s">
        <v>71</v>
      </c>
      <c r="D24" s="1" t="s">
        <v>91</v>
      </c>
      <c r="E24" s="1">
        <v>5</v>
      </c>
    </row>
    <row r="25" spans="1:5" x14ac:dyDescent="0.35">
      <c r="A25" s="1" t="s">
        <v>47</v>
      </c>
      <c r="B25" s="1" t="s">
        <v>19</v>
      </c>
      <c r="C25" s="1" t="s">
        <v>72</v>
      </c>
      <c r="D25" s="1" t="s">
        <v>92</v>
      </c>
      <c r="E25" s="1">
        <v>10</v>
      </c>
    </row>
    <row r="26" spans="1:5" x14ac:dyDescent="0.35">
      <c r="A26" s="1" t="s">
        <v>48</v>
      </c>
      <c r="B26" s="1" t="s">
        <v>24</v>
      </c>
      <c r="C26" s="1" t="s">
        <v>71</v>
      </c>
      <c r="D26" s="1" t="s">
        <v>91</v>
      </c>
      <c r="E26" s="1">
        <v>25</v>
      </c>
    </row>
    <row r="27" spans="1:5" x14ac:dyDescent="0.35">
      <c r="A27" s="1" t="s">
        <v>49</v>
      </c>
      <c r="B27" s="1" t="s">
        <v>24</v>
      </c>
      <c r="C27" s="1" t="s">
        <v>71</v>
      </c>
      <c r="D27" s="1" t="s">
        <v>91</v>
      </c>
      <c r="E27" s="1">
        <v>10</v>
      </c>
    </row>
    <row r="28" spans="1:5" x14ac:dyDescent="0.35">
      <c r="A28" s="1" t="s">
        <v>50</v>
      </c>
      <c r="B28" s="1" t="s">
        <v>19</v>
      </c>
      <c r="C28" s="1" t="s">
        <v>72</v>
      </c>
      <c r="D28" s="1" t="s">
        <v>92</v>
      </c>
      <c r="E28" s="1">
        <v>30</v>
      </c>
    </row>
    <row r="29" spans="1:5" x14ac:dyDescent="0.35">
      <c r="A29" s="1" t="s">
        <v>51</v>
      </c>
      <c r="B29" s="1" t="s">
        <v>22</v>
      </c>
      <c r="C29" s="1" t="s">
        <v>73</v>
      </c>
      <c r="D29" s="1" t="s">
        <v>93</v>
      </c>
      <c r="E29" s="1">
        <v>200</v>
      </c>
    </row>
    <row r="30" spans="1:5" x14ac:dyDescent="0.35">
      <c r="A30" s="1" t="s">
        <v>52</v>
      </c>
      <c r="B30" s="1" t="s">
        <v>53</v>
      </c>
      <c r="C30" s="1" t="s">
        <v>75</v>
      </c>
      <c r="D30" s="1" t="s">
        <v>96</v>
      </c>
      <c r="E30" s="1">
        <v>3200</v>
      </c>
    </row>
    <row r="31" spans="1:5" x14ac:dyDescent="0.35">
      <c r="A31" s="1" t="s">
        <v>54</v>
      </c>
      <c r="B31" s="1" t="s">
        <v>29</v>
      </c>
      <c r="C31" s="1" t="s">
        <v>73</v>
      </c>
      <c r="D31" s="1" t="s">
        <v>93</v>
      </c>
      <c r="E31" s="1">
        <v>850</v>
      </c>
    </row>
    <row r="32" spans="1:5" x14ac:dyDescent="0.35">
      <c r="A32" s="1" t="s">
        <v>107</v>
      </c>
      <c r="B32" s="1" t="s">
        <v>108</v>
      </c>
      <c r="C32" s="1" t="s">
        <v>124</v>
      </c>
      <c r="D32" s="1" t="s">
        <v>125</v>
      </c>
      <c r="E32" s="1">
        <v>8</v>
      </c>
    </row>
    <row r="33" spans="1:5" x14ac:dyDescent="0.35">
      <c r="A33" s="1" t="s">
        <v>109</v>
      </c>
      <c r="B33" s="1" t="s">
        <v>22</v>
      </c>
      <c r="C33" s="1" t="s">
        <v>73</v>
      </c>
      <c r="D33" s="1" t="s">
        <v>93</v>
      </c>
      <c r="E33" s="1">
        <v>70</v>
      </c>
    </row>
    <row r="34" spans="1:5" x14ac:dyDescent="0.35">
      <c r="A34" s="1" t="s">
        <v>110</v>
      </c>
      <c r="B34" s="1" t="s">
        <v>24</v>
      </c>
      <c r="C34" s="1" t="s">
        <v>71</v>
      </c>
      <c r="D34" s="1" t="s">
        <v>91</v>
      </c>
      <c r="E34" s="1">
        <v>800</v>
      </c>
    </row>
    <row r="35" spans="1:5" x14ac:dyDescent="0.35">
      <c r="A35" s="1" t="s">
        <v>111</v>
      </c>
      <c r="B35" s="1" t="s">
        <v>22</v>
      </c>
      <c r="C35" s="1" t="s">
        <v>73</v>
      </c>
      <c r="D35" s="1" t="s">
        <v>93</v>
      </c>
      <c r="E35" s="1">
        <v>90</v>
      </c>
    </row>
    <row r="36" spans="1:5" x14ac:dyDescent="0.35">
      <c r="A36" s="1" t="s">
        <v>112</v>
      </c>
      <c r="B36" s="1" t="s">
        <v>24</v>
      </c>
      <c r="C36" s="1" t="s">
        <v>71</v>
      </c>
      <c r="D36" s="1" t="s">
        <v>91</v>
      </c>
      <c r="E36" s="1">
        <v>300</v>
      </c>
    </row>
    <row r="37" spans="1:5" x14ac:dyDescent="0.35">
      <c r="A37" s="1" t="s">
        <v>57</v>
      </c>
      <c r="B37" s="1" t="s">
        <v>17</v>
      </c>
      <c r="C37" s="1" t="s">
        <v>90</v>
      </c>
      <c r="D37" s="1" t="s">
        <v>91</v>
      </c>
      <c r="E37" s="1">
        <v>4000</v>
      </c>
    </row>
    <row r="38" spans="1:5" x14ac:dyDescent="0.35">
      <c r="A38" s="1" t="s">
        <v>9</v>
      </c>
      <c r="B38" s="1" t="s">
        <v>17</v>
      </c>
      <c r="C38" s="1" t="s">
        <v>90</v>
      </c>
      <c r="D38" s="1" t="s">
        <v>91</v>
      </c>
      <c r="E38" s="1">
        <v>3500</v>
      </c>
    </row>
    <row r="39" spans="1:5" x14ac:dyDescent="0.35">
      <c r="A39" s="1" t="s">
        <v>58</v>
      </c>
      <c r="B39" s="1" t="s">
        <v>17</v>
      </c>
      <c r="C39" s="1" t="s">
        <v>90</v>
      </c>
      <c r="D39" s="1" t="s">
        <v>91</v>
      </c>
      <c r="E39" s="1">
        <v>3500</v>
      </c>
    </row>
    <row r="40" spans="1:5" x14ac:dyDescent="0.35">
      <c r="A40" s="1" t="s">
        <v>8</v>
      </c>
      <c r="B40" s="1" t="s">
        <v>17</v>
      </c>
      <c r="C40" s="1" t="s">
        <v>90</v>
      </c>
      <c r="D40" s="1" t="s">
        <v>91</v>
      </c>
      <c r="E40" s="1">
        <v>3200</v>
      </c>
    </row>
    <row r="41" spans="1:5" x14ac:dyDescent="0.35">
      <c r="A41" s="1" t="s">
        <v>7</v>
      </c>
      <c r="B41" s="1" t="s">
        <v>17</v>
      </c>
      <c r="C41" s="1" t="s">
        <v>90</v>
      </c>
      <c r="D41" s="1" t="s">
        <v>91</v>
      </c>
      <c r="E41" s="1">
        <v>2600</v>
      </c>
    </row>
    <row r="42" spans="1:5" x14ac:dyDescent="0.35">
      <c r="A42" s="1" t="s">
        <v>11</v>
      </c>
      <c r="B42" s="1" t="s">
        <v>17</v>
      </c>
      <c r="C42" s="1" t="s">
        <v>90</v>
      </c>
      <c r="D42" s="1" t="s">
        <v>91</v>
      </c>
      <c r="E42" s="1">
        <v>3000</v>
      </c>
    </row>
    <row r="43" spans="1:5" x14ac:dyDescent="0.35">
      <c r="A43" s="1" t="s">
        <v>60</v>
      </c>
      <c r="B43" s="1" t="s">
        <v>17</v>
      </c>
      <c r="C43" s="1" t="s">
        <v>90</v>
      </c>
      <c r="D43" s="1" t="s">
        <v>91</v>
      </c>
      <c r="E43" s="1">
        <v>4000</v>
      </c>
    </row>
    <row r="44" spans="1:5" x14ac:dyDescent="0.35">
      <c r="A44" s="1" t="s">
        <v>6</v>
      </c>
      <c r="B44" s="1" t="s">
        <v>17</v>
      </c>
      <c r="C44" s="1" t="s">
        <v>90</v>
      </c>
      <c r="D44" s="1" t="s">
        <v>91</v>
      </c>
      <c r="E44" s="1">
        <v>3500</v>
      </c>
    </row>
    <row r="45" spans="1:5" x14ac:dyDescent="0.35">
      <c r="A45" s="1" t="s">
        <v>10</v>
      </c>
      <c r="B45" s="1" t="s">
        <v>17</v>
      </c>
      <c r="C45" s="1" t="s">
        <v>90</v>
      </c>
      <c r="D45" s="1" t="s">
        <v>91</v>
      </c>
      <c r="E45" s="1">
        <v>2500</v>
      </c>
    </row>
    <row r="46" spans="1:5" x14ac:dyDescent="0.35">
      <c r="A46" s="1" t="s">
        <v>61</v>
      </c>
      <c r="B46" s="1" t="s">
        <v>17</v>
      </c>
      <c r="C46" s="1" t="s">
        <v>90</v>
      </c>
      <c r="D46" s="1" t="s">
        <v>91</v>
      </c>
      <c r="E46" s="1">
        <v>5000</v>
      </c>
    </row>
    <row r="47" spans="1:5" x14ac:dyDescent="0.35">
      <c r="A47" s="1" t="s">
        <v>62</v>
      </c>
      <c r="B47" s="1" t="s">
        <v>17</v>
      </c>
      <c r="C47" s="1" t="s">
        <v>90</v>
      </c>
      <c r="D47" s="1" t="s">
        <v>91</v>
      </c>
      <c r="E47" s="1">
        <v>400</v>
      </c>
    </row>
    <row r="48" spans="1:5" x14ac:dyDescent="0.35">
      <c r="A48" s="1" t="s">
        <v>63</v>
      </c>
      <c r="B48" s="1" t="s">
        <v>17</v>
      </c>
      <c r="C48" s="1" t="s">
        <v>90</v>
      </c>
      <c r="D48" s="1" t="s">
        <v>91</v>
      </c>
      <c r="E48" s="1">
        <v>1000</v>
      </c>
    </row>
    <row r="49" spans="1:5" x14ac:dyDescent="0.35">
      <c r="A49" s="1" t="s">
        <v>64</v>
      </c>
      <c r="B49" s="1" t="s">
        <v>17</v>
      </c>
      <c r="C49" s="1" t="s">
        <v>90</v>
      </c>
      <c r="D49" s="1" t="s">
        <v>91</v>
      </c>
      <c r="E49" s="1">
        <v>1000</v>
      </c>
    </row>
    <row r="50" spans="1:5" x14ac:dyDescent="0.35">
      <c r="A50" s="1" t="s">
        <v>12</v>
      </c>
      <c r="B50" s="1" t="s">
        <v>17</v>
      </c>
      <c r="C50" s="1" t="s">
        <v>90</v>
      </c>
      <c r="D50" s="1" t="s">
        <v>91</v>
      </c>
      <c r="E50" s="1">
        <v>3500</v>
      </c>
    </row>
    <row r="51" spans="1:5" x14ac:dyDescent="0.35">
      <c r="A51" s="1" t="s">
        <v>13</v>
      </c>
      <c r="B51" s="1" t="s">
        <v>17</v>
      </c>
      <c r="C51" s="1" t="s">
        <v>90</v>
      </c>
      <c r="D51" s="1" t="s">
        <v>91</v>
      </c>
      <c r="E51" s="1">
        <v>5000</v>
      </c>
    </row>
  </sheetData>
  <autoFilter ref="A1:A31" xr:uid="{DB8BF2BD-9475-4CB0-9241-BC74F2F2B13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C715B-6A25-406E-9BDB-DEE1ACAA30CE}">
  <sheetPr codeName="Sheet2"/>
  <dimension ref="A1:F10"/>
  <sheetViews>
    <sheetView workbookViewId="0">
      <selection activeCell="H11" sqref="H11"/>
    </sheetView>
  </sheetViews>
  <sheetFormatPr defaultRowHeight="14.5" x14ac:dyDescent="0.35"/>
  <cols>
    <col min="1" max="1" width="19.54296875" style="1" customWidth="1"/>
    <col min="2" max="2" width="23.08984375" style="1" bestFit="1" customWidth="1"/>
    <col min="3" max="3" width="20.7265625" style="1" bestFit="1" customWidth="1"/>
    <col min="4" max="4" width="16.36328125" style="1" customWidth="1"/>
    <col min="5" max="5" width="8.7265625" style="1"/>
    <col min="6" max="6" width="13.1796875" style="1" customWidth="1"/>
    <col min="7" max="16384" width="8.7265625" style="1"/>
  </cols>
  <sheetData>
    <row r="1" spans="1:6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5">
      <c r="A2" s="3">
        <v>46023</v>
      </c>
      <c r="B2" s="1" t="s">
        <v>141</v>
      </c>
      <c r="C2" s="1" t="s">
        <v>57</v>
      </c>
      <c r="D2" s="1">
        <v>1</v>
      </c>
      <c r="E2" s="1">
        <v>17000</v>
      </c>
      <c r="F2" s="1">
        <v>17000</v>
      </c>
    </row>
    <row r="3" spans="1:6" x14ac:dyDescent="0.35">
      <c r="A3" s="3">
        <v>46023</v>
      </c>
      <c r="B3" s="1" t="s">
        <v>141</v>
      </c>
      <c r="C3" s="1" t="s">
        <v>9</v>
      </c>
      <c r="D3" s="1">
        <v>1</v>
      </c>
      <c r="E3" s="1">
        <v>11500</v>
      </c>
      <c r="F3" s="1">
        <v>11500</v>
      </c>
    </row>
    <row r="4" spans="1:6" x14ac:dyDescent="0.35">
      <c r="A4" s="3">
        <v>46023</v>
      </c>
      <c r="B4" s="1" t="s">
        <v>141</v>
      </c>
      <c r="C4" s="1" t="s">
        <v>58</v>
      </c>
      <c r="D4" s="1">
        <v>1</v>
      </c>
      <c r="E4" s="1">
        <v>12000</v>
      </c>
      <c r="F4" s="1">
        <v>12000</v>
      </c>
    </row>
    <row r="5" spans="1:6" x14ac:dyDescent="0.35">
      <c r="A5" s="3">
        <v>46023</v>
      </c>
      <c r="B5" s="1" t="s">
        <v>141</v>
      </c>
      <c r="C5" s="1" t="s">
        <v>8</v>
      </c>
      <c r="D5" s="1">
        <v>1</v>
      </c>
      <c r="E5" s="1">
        <v>12000</v>
      </c>
      <c r="F5" s="1">
        <v>12000</v>
      </c>
    </row>
    <row r="6" spans="1:6" x14ac:dyDescent="0.35">
      <c r="A6" s="3">
        <v>46026</v>
      </c>
      <c r="B6" s="1" t="s">
        <v>143</v>
      </c>
      <c r="C6" s="1" t="s">
        <v>7</v>
      </c>
      <c r="D6" s="1">
        <v>1</v>
      </c>
      <c r="E6" s="1">
        <v>9000</v>
      </c>
      <c r="F6" s="1">
        <v>9000</v>
      </c>
    </row>
    <row r="7" spans="1:6" x14ac:dyDescent="0.35">
      <c r="A7" s="3">
        <v>46026</v>
      </c>
      <c r="B7" s="1" t="s">
        <v>143</v>
      </c>
      <c r="C7" s="1" t="s">
        <v>59</v>
      </c>
      <c r="D7" s="1">
        <v>1</v>
      </c>
      <c r="E7" s="1">
        <v>7500</v>
      </c>
      <c r="F7" s="1">
        <v>7500</v>
      </c>
    </row>
    <row r="8" spans="1:6" x14ac:dyDescent="0.35">
      <c r="A8" s="3">
        <v>46026</v>
      </c>
      <c r="B8" s="1" t="s">
        <v>143</v>
      </c>
      <c r="C8" s="1" t="s">
        <v>11</v>
      </c>
      <c r="D8" s="1">
        <v>1</v>
      </c>
      <c r="E8" s="1">
        <v>19000</v>
      </c>
      <c r="F8" s="1">
        <v>19000</v>
      </c>
    </row>
    <row r="9" spans="1:6" x14ac:dyDescent="0.35">
      <c r="A9" s="3">
        <v>46027</v>
      </c>
      <c r="B9" s="1" t="s">
        <v>141</v>
      </c>
      <c r="C9" s="1" t="s">
        <v>62</v>
      </c>
      <c r="D9" s="1">
        <v>1</v>
      </c>
      <c r="E9" s="1">
        <v>500</v>
      </c>
      <c r="F9" s="1">
        <v>500</v>
      </c>
    </row>
    <row r="10" spans="1:6" x14ac:dyDescent="0.35">
      <c r="A10" s="3">
        <v>46027</v>
      </c>
      <c r="B10" s="1" t="s">
        <v>141</v>
      </c>
      <c r="C10" s="1" t="s">
        <v>63</v>
      </c>
      <c r="D10" s="1">
        <v>1</v>
      </c>
      <c r="E10" s="1">
        <v>2500</v>
      </c>
      <c r="F10" s="1">
        <v>2500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39E2-D640-4BE7-B60E-1F2C1D911B0A}">
  <sheetPr codeName="Sheet6"/>
  <dimension ref="A1:G35"/>
  <sheetViews>
    <sheetView workbookViewId="0">
      <selection activeCell="E12" sqref="E12"/>
    </sheetView>
  </sheetViews>
  <sheetFormatPr defaultRowHeight="14.5" x14ac:dyDescent="0.35"/>
  <cols>
    <col min="1" max="1" width="16.54296875" style="1" customWidth="1"/>
    <col min="2" max="2" width="20.6328125" style="1" customWidth="1"/>
    <col min="3" max="3" width="14.08984375" style="1" bestFit="1" customWidth="1"/>
    <col min="4" max="4" width="20.7265625" style="1" bestFit="1" customWidth="1"/>
    <col min="5" max="5" width="8.7265625" style="1"/>
    <col min="6" max="6" width="12.08984375" style="1" customWidth="1"/>
    <col min="7" max="7" width="22.08984375" style="1" customWidth="1"/>
    <col min="8" max="16384" width="8.7265625" style="1"/>
  </cols>
  <sheetData>
    <row r="1" spans="1:7" x14ac:dyDescent="0.35">
      <c r="A1" s="2" t="s">
        <v>0</v>
      </c>
      <c r="B1" s="2" t="s">
        <v>65</v>
      </c>
      <c r="C1" s="2" t="s">
        <v>66</v>
      </c>
      <c r="D1" s="2" t="s">
        <v>67</v>
      </c>
      <c r="E1" s="2" t="s">
        <v>68</v>
      </c>
      <c r="F1" s="2" t="s">
        <v>69</v>
      </c>
      <c r="G1" s="2" t="s">
        <v>5</v>
      </c>
    </row>
    <row r="2" spans="1:7" x14ac:dyDescent="0.35">
      <c r="A2" s="3">
        <v>46027</v>
      </c>
      <c r="B2" s="1" t="s">
        <v>150</v>
      </c>
      <c r="C2" s="1" t="s">
        <v>165</v>
      </c>
      <c r="D2" s="1" t="s">
        <v>18</v>
      </c>
      <c r="E2" s="1">
        <v>500</v>
      </c>
      <c r="F2" s="1">
        <v>60</v>
      </c>
      <c r="G2" s="20">
        <v>30000</v>
      </c>
    </row>
    <row r="3" spans="1:7" x14ac:dyDescent="0.35">
      <c r="A3" s="3">
        <v>46027</v>
      </c>
      <c r="B3" s="1" t="s">
        <v>150</v>
      </c>
      <c r="C3" s="1" t="s">
        <v>165</v>
      </c>
      <c r="D3" s="1" t="s">
        <v>21</v>
      </c>
      <c r="E3" s="1">
        <v>500</v>
      </c>
      <c r="F3" s="1">
        <v>200</v>
      </c>
      <c r="G3" s="20">
        <v>100000</v>
      </c>
    </row>
    <row r="4" spans="1:7" x14ac:dyDescent="0.35">
      <c r="A4" s="3">
        <v>46027</v>
      </c>
      <c r="B4" s="1" t="s">
        <v>150</v>
      </c>
      <c r="C4" s="1" t="s">
        <v>165</v>
      </c>
      <c r="D4" s="1" t="s">
        <v>23</v>
      </c>
      <c r="E4" s="1">
        <v>100</v>
      </c>
      <c r="F4" s="1">
        <v>100</v>
      </c>
      <c r="G4" s="20">
        <v>10000</v>
      </c>
    </row>
    <row r="5" spans="1:7" x14ac:dyDescent="0.35">
      <c r="A5" s="3">
        <v>46027</v>
      </c>
      <c r="B5" s="1" t="s">
        <v>150</v>
      </c>
      <c r="C5" s="1" t="s">
        <v>165</v>
      </c>
      <c r="D5" s="1" t="s">
        <v>25</v>
      </c>
      <c r="E5" s="1">
        <v>90</v>
      </c>
      <c r="F5" s="1">
        <v>150</v>
      </c>
      <c r="G5" s="20">
        <v>13500</v>
      </c>
    </row>
    <row r="6" spans="1:7" x14ac:dyDescent="0.35">
      <c r="A6" s="3">
        <v>46027</v>
      </c>
      <c r="B6" s="1" t="s">
        <v>150</v>
      </c>
      <c r="C6" s="1" t="s">
        <v>165</v>
      </c>
      <c r="D6" s="1" t="s">
        <v>26</v>
      </c>
      <c r="E6" s="1">
        <v>20</v>
      </c>
      <c r="F6" s="1">
        <v>120</v>
      </c>
      <c r="G6" s="20">
        <v>2400</v>
      </c>
    </row>
    <row r="7" spans="1:7" x14ac:dyDescent="0.35">
      <c r="A7" s="3">
        <v>46030</v>
      </c>
      <c r="B7" s="1" t="s">
        <v>154</v>
      </c>
      <c r="C7" s="1" t="s">
        <v>167</v>
      </c>
      <c r="D7" s="1" t="s">
        <v>27</v>
      </c>
      <c r="E7" s="1">
        <v>300</v>
      </c>
      <c r="F7" s="1">
        <v>60</v>
      </c>
      <c r="G7" s="20">
        <v>18000</v>
      </c>
    </row>
    <row r="8" spans="1:7" x14ac:dyDescent="0.35">
      <c r="A8" s="3">
        <v>46030</v>
      </c>
      <c r="B8" s="1" t="s">
        <v>154</v>
      </c>
      <c r="C8" s="1" t="s">
        <v>167</v>
      </c>
      <c r="D8" s="1" t="s">
        <v>28</v>
      </c>
      <c r="E8" s="1">
        <v>100</v>
      </c>
      <c r="F8" s="1">
        <v>100</v>
      </c>
      <c r="G8" s="20">
        <v>10000</v>
      </c>
    </row>
    <row r="9" spans="1:7" x14ac:dyDescent="0.35">
      <c r="A9" s="3">
        <v>46030</v>
      </c>
      <c r="B9" s="1" t="s">
        <v>154</v>
      </c>
      <c r="C9" s="1" t="s">
        <v>167</v>
      </c>
      <c r="D9" s="1" t="s">
        <v>30</v>
      </c>
      <c r="E9" s="1">
        <v>500</v>
      </c>
      <c r="F9" s="1">
        <v>5</v>
      </c>
      <c r="G9" s="20">
        <v>2500</v>
      </c>
    </row>
    <row r="10" spans="1:7" x14ac:dyDescent="0.35">
      <c r="A10" s="3">
        <v>46030</v>
      </c>
      <c r="B10" s="1" t="s">
        <v>154</v>
      </c>
      <c r="C10" s="1" t="s">
        <v>167</v>
      </c>
      <c r="D10" s="1" t="s">
        <v>31</v>
      </c>
      <c r="E10" s="1">
        <v>400</v>
      </c>
      <c r="F10" s="1">
        <v>5</v>
      </c>
      <c r="G10" s="20">
        <v>2000</v>
      </c>
    </row>
    <row r="11" spans="1:7" x14ac:dyDescent="0.35">
      <c r="A11" s="3">
        <v>46030</v>
      </c>
      <c r="B11" s="1" t="s">
        <v>154</v>
      </c>
      <c r="C11" s="1" t="s">
        <v>167</v>
      </c>
      <c r="D11" s="1" t="s">
        <v>32</v>
      </c>
      <c r="E11" s="1">
        <v>500</v>
      </c>
      <c r="F11" s="1">
        <v>10</v>
      </c>
      <c r="G11" s="20">
        <v>5000</v>
      </c>
    </row>
    <row r="12" spans="1:7" x14ac:dyDescent="0.35">
      <c r="A12" s="3">
        <v>46030</v>
      </c>
      <c r="B12" s="1" t="s">
        <v>154</v>
      </c>
      <c r="C12" s="1" t="s">
        <v>167</v>
      </c>
      <c r="D12" s="1" t="s">
        <v>33</v>
      </c>
      <c r="E12" s="1">
        <v>200</v>
      </c>
      <c r="F12" s="1">
        <v>200</v>
      </c>
      <c r="G12" s="20">
        <v>40000</v>
      </c>
    </row>
    <row r="13" spans="1:7" x14ac:dyDescent="0.35">
      <c r="A13" s="3">
        <v>46030</v>
      </c>
      <c r="B13" s="1" t="s">
        <v>154</v>
      </c>
      <c r="C13" s="1" t="s">
        <v>167</v>
      </c>
      <c r="D13" s="1" t="s">
        <v>34</v>
      </c>
      <c r="E13" s="1">
        <v>300</v>
      </c>
      <c r="F13" s="1">
        <v>200</v>
      </c>
      <c r="G13" s="20">
        <v>60000</v>
      </c>
    </row>
    <row r="14" spans="1:7" x14ac:dyDescent="0.35">
      <c r="A14" s="3">
        <v>46030</v>
      </c>
      <c r="B14" s="1" t="s">
        <v>154</v>
      </c>
      <c r="C14" s="1" t="s">
        <v>167</v>
      </c>
      <c r="D14" s="1" t="s">
        <v>35</v>
      </c>
      <c r="E14" s="1">
        <v>500</v>
      </c>
      <c r="F14" s="1">
        <v>20</v>
      </c>
      <c r="G14" s="20">
        <v>10000</v>
      </c>
    </row>
    <row r="15" spans="1:7" x14ac:dyDescent="0.35">
      <c r="A15" s="3">
        <v>46030</v>
      </c>
      <c r="B15" s="1" t="s">
        <v>154</v>
      </c>
      <c r="C15" s="1" t="s">
        <v>167</v>
      </c>
      <c r="D15" s="1" t="s">
        <v>37</v>
      </c>
      <c r="E15" s="1">
        <v>50</v>
      </c>
      <c r="F15" s="1">
        <v>30</v>
      </c>
      <c r="G15" s="20">
        <v>1500</v>
      </c>
    </row>
    <row r="16" spans="1:7" x14ac:dyDescent="0.35">
      <c r="A16" s="3">
        <v>46029</v>
      </c>
      <c r="B16" s="1" t="s">
        <v>152</v>
      </c>
      <c r="C16" s="1" t="s">
        <v>168</v>
      </c>
      <c r="D16" s="1" t="s">
        <v>59</v>
      </c>
      <c r="E16" s="1">
        <v>20</v>
      </c>
      <c r="F16" s="1">
        <v>2200</v>
      </c>
      <c r="G16" s="20">
        <v>44000</v>
      </c>
    </row>
    <row r="17" spans="1:7" x14ac:dyDescent="0.35">
      <c r="A17" s="3">
        <v>46029</v>
      </c>
      <c r="B17" s="1" t="s">
        <v>152</v>
      </c>
      <c r="C17" s="1" t="s">
        <v>168</v>
      </c>
      <c r="D17" s="1" t="s">
        <v>38</v>
      </c>
      <c r="E17" s="1">
        <v>300</v>
      </c>
      <c r="F17" s="1">
        <v>120</v>
      </c>
      <c r="G17" s="20">
        <v>36000</v>
      </c>
    </row>
    <row r="18" spans="1:7" x14ac:dyDescent="0.35">
      <c r="A18" s="3">
        <v>46029</v>
      </c>
      <c r="B18" s="1" t="s">
        <v>152</v>
      </c>
      <c r="C18" s="1" t="s">
        <v>168</v>
      </c>
      <c r="D18" s="1" t="s">
        <v>39</v>
      </c>
      <c r="E18" s="1">
        <v>300</v>
      </c>
      <c r="F18" s="1">
        <v>90</v>
      </c>
      <c r="G18" s="20">
        <v>27000</v>
      </c>
    </row>
    <row r="19" spans="1:7" x14ac:dyDescent="0.35">
      <c r="A19" s="3">
        <v>46029</v>
      </c>
      <c r="B19" s="1" t="s">
        <v>152</v>
      </c>
      <c r="C19" s="1" t="s">
        <v>168</v>
      </c>
      <c r="D19" s="1" t="s">
        <v>40</v>
      </c>
      <c r="E19" s="1">
        <v>200</v>
      </c>
      <c r="F19" s="1">
        <v>125</v>
      </c>
      <c r="G19" s="20">
        <v>25000</v>
      </c>
    </row>
    <row r="20" spans="1:7" x14ac:dyDescent="0.35">
      <c r="A20" s="3">
        <v>46029</v>
      </c>
      <c r="B20" s="1" t="s">
        <v>152</v>
      </c>
      <c r="C20" s="1" t="s">
        <v>168</v>
      </c>
      <c r="D20" s="1" t="s">
        <v>41</v>
      </c>
      <c r="E20" s="1">
        <v>500</v>
      </c>
      <c r="F20" s="1">
        <v>40</v>
      </c>
      <c r="G20" s="20">
        <v>20000</v>
      </c>
    </row>
    <row r="21" spans="1:7" x14ac:dyDescent="0.35">
      <c r="A21" s="3">
        <v>46029</v>
      </c>
      <c r="B21" s="1" t="s">
        <v>152</v>
      </c>
      <c r="C21" s="1" t="s">
        <v>168</v>
      </c>
      <c r="D21" s="1" t="s">
        <v>42</v>
      </c>
      <c r="E21" s="1">
        <v>500</v>
      </c>
      <c r="F21" s="1">
        <v>100</v>
      </c>
      <c r="G21" s="20">
        <v>50000</v>
      </c>
    </row>
    <row r="22" spans="1:7" x14ac:dyDescent="0.35">
      <c r="A22" s="3">
        <v>46029</v>
      </c>
      <c r="B22" s="1" t="s">
        <v>152</v>
      </c>
      <c r="C22" s="1" t="s">
        <v>168</v>
      </c>
      <c r="D22" s="1" t="s">
        <v>44</v>
      </c>
      <c r="E22" s="1">
        <v>400</v>
      </c>
      <c r="F22" s="1">
        <v>165</v>
      </c>
      <c r="G22" s="20">
        <v>66000</v>
      </c>
    </row>
    <row r="23" spans="1:7" x14ac:dyDescent="0.35">
      <c r="A23" s="3">
        <v>46023</v>
      </c>
      <c r="B23" s="1" t="s">
        <v>152</v>
      </c>
      <c r="C23" s="1" t="s">
        <v>169</v>
      </c>
      <c r="D23" s="1" t="s">
        <v>112</v>
      </c>
      <c r="E23" s="1">
        <v>40</v>
      </c>
      <c r="F23" s="1">
        <v>300</v>
      </c>
      <c r="G23" s="20">
        <v>12000</v>
      </c>
    </row>
    <row r="24" spans="1:7" x14ac:dyDescent="0.35">
      <c r="A24" s="3">
        <v>46023</v>
      </c>
      <c r="B24" s="1" t="s">
        <v>152</v>
      </c>
      <c r="C24" s="1" t="s">
        <v>169</v>
      </c>
      <c r="D24" s="1" t="s">
        <v>111</v>
      </c>
      <c r="E24" s="1">
        <v>100</v>
      </c>
      <c r="F24" s="1">
        <v>90</v>
      </c>
      <c r="G24" s="20">
        <v>9000</v>
      </c>
    </row>
    <row r="25" spans="1:7" x14ac:dyDescent="0.35">
      <c r="A25" s="3">
        <v>46023</v>
      </c>
      <c r="B25" s="1" t="s">
        <v>152</v>
      </c>
      <c r="C25" s="1" t="s">
        <v>169</v>
      </c>
      <c r="D25" s="1" t="s">
        <v>110</v>
      </c>
      <c r="E25" s="1">
        <v>200</v>
      </c>
      <c r="F25" s="1">
        <v>800</v>
      </c>
      <c r="G25" s="20">
        <v>160000</v>
      </c>
    </row>
    <row r="26" spans="1:7" x14ac:dyDescent="0.35">
      <c r="A26" s="3">
        <v>46023</v>
      </c>
      <c r="B26" s="1" t="s">
        <v>152</v>
      </c>
      <c r="C26" s="1" t="s">
        <v>169</v>
      </c>
      <c r="D26" s="1" t="s">
        <v>109</v>
      </c>
      <c r="E26" s="1">
        <v>50</v>
      </c>
      <c r="F26" s="1">
        <v>70</v>
      </c>
      <c r="G26" s="20">
        <v>3500</v>
      </c>
    </row>
    <row r="27" spans="1:7" x14ac:dyDescent="0.35">
      <c r="A27" s="3">
        <v>46023</v>
      </c>
      <c r="B27" s="1" t="s">
        <v>152</v>
      </c>
      <c r="C27" s="1" t="s">
        <v>169</v>
      </c>
      <c r="D27" s="1" t="s">
        <v>107</v>
      </c>
      <c r="E27" s="1">
        <v>1000</v>
      </c>
      <c r="F27" s="1">
        <v>8</v>
      </c>
      <c r="G27" s="20">
        <v>8000</v>
      </c>
    </row>
    <row r="28" spans="1:7" x14ac:dyDescent="0.35">
      <c r="A28" s="3">
        <v>46023</v>
      </c>
      <c r="B28" s="1" t="s">
        <v>152</v>
      </c>
      <c r="C28" s="1" t="s">
        <v>169</v>
      </c>
      <c r="D28" s="1" t="s">
        <v>107</v>
      </c>
      <c r="E28" s="1">
        <v>10000</v>
      </c>
      <c r="F28" s="1">
        <v>8</v>
      </c>
      <c r="G28" s="20">
        <v>80000</v>
      </c>
    </row>
    <row r="29" spans="1:7" x14ac:dyDescent="0.35">
      <c r="A29" s="3">
        <v>46026</v>
      </c>
      <c r="B29" s="1" t="s">
        <v>150</v>
      </c>
      <c r="D29" s="1" t="s">
        <v>54</v>
      </c>
      <c r="E29" s="1">
        <v>190</v>
      </c>
      <c r="F29" s="1">
        <v>850</v>
      </c>
      <c r="G29" s="20">
        <v>161500</v>
      </c>
    </row>
    <row r="30" spans="1:7" x14ac:dyDescent="0.35">
      <c r="A30" s="3">
        <v>46026</v>
      </c>
      <c r="B30" s="1" t="s">
        <v>150</v>
      </c>
      <c r="D30" s="1" t="s">
        <v>52</v>
      </c>
      <c r="E30" s="1">
        <v>50</v>
      </c>
      <c r="F30" s="1">
        <v>3200</v>
      </c>
      <c r="G30" s="20">
        <v>160000</v>
      </c>
    </row>
    <row r="31" spans="1:7" x14ac:dyDescent="0.35">
      <c r="A31" s="3">
        <v>46026</v>
      </c>
      <c r="B31" s="1" t="s">
        <v>150</v>
      </c>
      <c r="D31" s="1" t="s">
        <v>51</v>
      </c>
      <c r="E31" s="1">
        <v>400</v>
      </c>
      <c r="F31" s="1">
        <v>200</v>
      </c>
      <c r="G31" s="20">
        <v>80000</v>
      </c>
    </row>
    <row r="32" spans="1:7" x14ac:dyDescent="0.35">
      <c r="A32" s="3">
        <v>46026</v>
      </c>
      <c r="B32" s="1" t="s">
        <v>150</v>
      </c>
      <c r="D32" s="1" t="s">
        <v>50</v>
      </c>
      <c r="E32" s="1">
        <v>500</v>
      </c>
      <c r="F32" s="1">
        <v>30</v>
      </c>
      <c r="G32" s="20">
        <v>15000</v>
      </c>
    </row>
    <row r="33" spans="1:7" x14ac:dyDescent="0.35">
      <c r="A33" s="3">
        <v>46026</v>
      </c>
      <c r="B33" s="1" t="s">
        <v>150</v>
      </c>
      <c r="D33" s="1" t="s">
        <v>49</v>
      </c>
      <c r="E33" s="1">
        <v>5000</v>
      </c>
      <c r="F33" s="1">
        <v>10</v>
      </c>
      <c r="G33" s="20">
        <v>50000</v>
      </c>
    </row>
    <row r="34" spans="1:7" x14ac:dyDescent="0.35">
      <c r="A34" s="3">
        <v>46026</v>
      </c>
      <c r="B34" s="1" t="s">
        <v>150</v>
      </c>
      <c r="D34" s="1" t="s">
        <v>48</v>
      </c>
      <c r="E34" s="1">
        <v>1000</v>
      </c>
      <c r="F34" s="1">
        <v>25</v>
      </c>
      <c r="G34" s="20">
        <v>25000</v>
      </c>
    </row>
    <row r="35" spans="1:7" x14ac:dyDescent="0.35">
      <c r="A35" s="3">
        <v>46026</v>
      </c>
      <c r="B35" s="1" t="s">
        <v>150</v>
      </c>
      <c r="D35" s="1" t="s">
        <v>47</v>
      </c>
      <c r="E35" s="1">
        <v>500</v>
      </c>
      <c r="F35" s="1">
        <v>10</v>
      </c>
      <c r="G35" s="20">
        <v>5000</v>
      </c>
    </row>
  </sheetData>
  <autoFilter ref="D1:D35" xr:uid="{B11539E2-D640-4BE7-B60E-1F2C1D911B0A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64491-9238-46EE-BA68-35CA1E9BC5AB}">
  <sheetPr codeName="Sheet7"/>
  <dimension ref="A1:F9"/>
  <sheetViews>
    <sheetView workbookViewId="0">
      <selection activeCell="C17" sqref="C17"/>
    </sheetView>
  </sheetViews>
  <sheetFormatPr defaultRowHeight="14.5" x14ac:dyDescent="0.35"/>
  <cols>
    <col min="1" max="1" width="15" style="1" customWidth="1"/>
    <col min="2" max="2" width="17.90625" style="1" customWidth="1"/>
    <col min="3" max="3" width="31.1796875" style="1" customWidth="1"/>
    <col min="4" max="4" width="16.90625" style="1" customWidth="1"/>
    <col min="5" max="5" width="8.7265625" style="1"/>
    <col min="6" max="6" width="17" style="1" bestFit="1" customWidth="1"/>
    <col min="7" max="7" width="31.08984375" style="1" customWidth="1"/>
    <col min="8" max="16384" width="8.7265625" style="1"/>
  </cols>
  <sheetData>
    <row r="1" spans="1:6" x14ac:dyDescent="0.35">
      <c r="A1" s="2" t="s">
        <v>0</v>
      </c>
      <c r="B1" s="2" t="s">
        <v>77</v>
      </c>
      <c r="C1" s="2" t="s">
        <v>78</v>
      </c>
      <c r="D1" s="2" t="s">
        <v>5</v>
      </c>
      <c r="E1" s="2" t="s">
        <v>79</v>
      </c>
      <c r="F1" s="2" t="s">
        <v>70</v>
      </c>
    </row>
    <row r="2" spans="1:6" x14ac:dyDescent="0.35">
      <c r="A2" s="3">
        <v>46023</v>
      </c>
      <c r="B2" s="1" t="s">
        <v>166</v>
      </c>
      <c r="C2" s="1" t="s">
        <v>150</v>
      </c>
      <c r="D2" s="1">
        <v>20000</v>
      </c>
      <c r="E2" s="1" t="s">
        <v>170</v>
      </c>
    </row>
    <row r="3" spans="1:6" x14ac:dyDescent="0.35">
      <c r="A3" s="3">
        <v>46024</v>
      </c>
      <c r="B3" s="1" t="s">
        <v>166</v>
      </c>
      <c r="C3" s="1" t="s">
        <v>152</v>
      </c>
      <c r="D3" s="1">
        <v>50000</v>
      </c>
      <c r="E3" s="1" t="s">
        <v>170</v>
      </c>
    </row>
    <row r="4" spans="1:6" x14ac:dyDescent="0.35">
      <c r="A4" s="3">
        <v>46026</v>
      </c>
      <c r="B4" s="1" t="s">
        <v>1</v>
      </c>
      <c r="C4" s="1" t="s">
        <v>141</v>
      </c>
      <c r="D4" s="1">
        <v>30000</v>
      </c>
      <c r="E4" s="1" t="s">
        <v>170</v>
      </c>
    </row>
    <row r="5" spans="1:6" x14ac:dyDescent="0.35">
      <c r="A5" s="3">
        <v>46026</v>
      </c>
      <c r="B5" s="1" t="s">
        <v>1</v>
      </c>
      <c r="C5" s="1" t="s">
        <v>143</v>
      </c>
      <c r="D5" s="1">
        <v>40000</v>
      </c>
      <c r="E5" s="1" t="s">
        <v>170</v>
      </c>
    </row>
    <row r="6" spans="1:6" x14ac:dyDescent="0.35">
      <c r="A6" s="3">
        <v>46028</v>
      </c>
      <c r="B6" s="1" t="s">
        <v>80</v>
      </c>
      <c r="C6" s="1" t="s">
        <v>156</v>
      </c>
      <c r="D6" s="1">
        <v>5000</v>
      </c>
      <c r="E6" s="1" t="s">
        <v>170</v>
      </c>
    </row>
    <row r="7" spans="1:6" x14ac:dyDescent="0.35">
      <c r="A7" s="3">
        <v>46028</v>
      </c>
      <c r="B7" s="1" t="s">
        <v>80</v>
      </c>
      <c r="C7" s="1" t="s">
        <v>158</v>
      </c>
      <c r="D7" s="1">
        <v>50000</v>
      </c>
      <c r="E7" s="1" t="s">
        <v>170</v>
      </c>
    </row>
    <row r="8" spans="1:6" x14ac:dyDescent="0.35">
      <c r="A8" s="3">
        <v>46024</v>
      </c>
      <c r="B8" s="1" t="s">
        <v>166</v>
      </c>
      <c r="C8" s="1" t="s">
        <v>150</v>
      </c>
      <c r="D8" s="1">
        <v>1000000</v>
      </c>
      <c r="E8" s="1" t="s">
        <v>170</v>
      </c>
    </row>
    <row r="9" spans="1:6" x14ac:dyDescent="0.35">
      <c r="A9" s="3">
        <v>46023</v>
      </c>
      <c r="B9" s="1" t="s">
        <v>1</v>
      </c>
      <c r="C9" s="1" t="s">
        <v>141</v>
      </c>
      <c r="D9" s="1">
        <v>1000000</v>
      </c>
      <c r="E9" s="1" t="s">
        <v>170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0575B-0374-4142-A15E-66E239B761E1}">
  <sheetPr codeName="Sheet9"/>
  <dimension ref="A1:G26"/>
  <sheetViews>
    <sheetView workbookViewId="0">
      <selection activeCell="G17" sqref="G17"/>
    </sheetView>
  </sheetViews>
  <sheetFormatPr defaultRowHeight="14.5" x14ac:dyDescent="0.35"/>
  <cols>
    <col min="1" max="1" width="15.6328125" style="1" customWidth="1"/>
    <col min="2" max="2" width="12.6328125" style="1" customWidth="1"/>
    <col min="3" max="3" width="19.81640625" style="1" customWidth="1"/>
    <col min="4" max="4" width="22.81640625" style="1" customWidth="1"/>
    <col min="5" max="5" width="14.26953125" style="1" customWidth="1"/>
    <col min="6" max="6" width="17.7265625" style="1" customWidth="1"/>
    <col min="7" max="7" width="14.6328125" style="1" customWidth="1"/>
    <col min="8" max="16384" width="8.7265625" style="1"/>
  </cols>
  <sheetData>
    <row r="1" spans="1:7" x14ac:dyDescent="0.35">
      <c r="A1" s="4" t="s">
        <v>83</v>
      </c>
      <c r="B1" s="4" t="s">
        <v>84</v>
      </c>
      <c r="C1" s="4" t="s">
        <v>85</v>
      </c>
      <c r="D1" s="4" t="s">
        <v>67</v>
      </c>
      <c r="E1" s="4" t="s">
        <v>68</v>
      </c>
      <c r="F1" s="4" t="s">
        <v>69</v>
      </c>
      <c r="G1" s="4" t="s">
        <v>5</v>
      </c>
    </row>
    <row r="2" spans="1:7" x14ac:dyDescent="0.35">
      <c r="A2" s="3">
        <v>46023</v>
      </c>
      <c r="B2" s="1" t="s">
        <v>16</v>
      </c>
      <c r="C2" s="1" t="s">
        <v>158</v>
      </c>
      <c r="D2" s="1" t="s">
        <v>57</v>
      </c>
      <c r="E2" s="1">
        <v>2</v>
      </c>
      <c r="F2" s="1">
        <v>450</v>
      </c>
      <c r="G2" s="1">
        <v>900</v>
      </c>
    </row>
    <row r="3" spans="1:7" x14ac:dyDescent="0.35">
      <c r="A3" s="3">
        <v>46023</v>
      </c>
      <c r="B3" s="1" t="s">
        <v>16</v>
      </c>
      <c r="C3" s="1" t="s">
        <v>158</v>
      </c>
      <c r="D3" s="1" t="s">
        <v>9</v>
      </c>
      <c r="E3" s="1">
        <v>2</v>
      </c>
      <c r="F3" s="1">
        <v>450</v>
      </c>
      <c r="G3" s="1">
        <v>900</v>
      </c>
    </row>
    <row r="4" spans="1:7" x14ac:dyDescent="0.35">
      <c r="A4" s="3">
        <v>46023</v>
      </c>
      <c r="B4" s="1" t="s">
        <v>16</v>
      </c>
      <c r="C4" s="1" t="s">
        <v>158</v>
      </c>
      <c r="D4" s="1" t="s">
        <v>58</v>
      </c>
      <c r="E4" s="1">
        <v>2</v>
      </c>
      <c r="F4" s="1">
        <v>450</v>
      </c>
      <c r="G4" s="1">
        <v>900</v>
      </c>
    </row>
    <row r="5" spans="1:7" x14ac:dyDescent="0.35">
      <c r="A5" s="3">
        <v>46023</v>
      </c>
      <c r="B5" s="1" t="s">
        <v>16</v>
      </c>
      <c r="C5" s="1" t="s">
        <v>158</v>
      </c>
      <c r="D5" s="1" t="s">
        <v>8</v>
      </c>
      <c r="E5" s="1">
        <v>2</v>
      </c>
      <c r="F5" s="1">
        <v>450</v>
      </c>
      <c r="G5" s="1">
        <v>900</v>
      </c>
    </row>
    <row r="6" spans="1:7" x14ac:dyDescent="0.35">
      <c r="A6" s="3">
        <v>46024</v>
      </c>
      <c r="B6" s="1" t="s">
        <v>16</v>
      </c>
      <c r="C6" s="1" t="s">
        <v>159</v>
      </c>
      <c r="D6" s="1" t="s">
        <v>7</v>
      </c>
      <c r="E6" s="1">
        <v>2</v>
      </c>
      <c r="F6" s="1">
        <v>350</v>
      </c>
      <c r="G6" s="1">
        <v>700</v>
      </c>
    </row>
    <row r="7" spans="1:7" x14ac:dyDescent="0.35">
      <c r="A7" s="3">
        <v>46024</v>
      </c>
      <c r="B7" s="1" t="s">
        <v>16</v>
      </c>
      <c r="C7" s="1" t="s">
        <v>159</v>
      </c>
      <c r="D7" s="1" t="s">
        <v>59</v>
      </c>
      <c r="E7" s="1">
        <v>2</v>
      </c>
      <c r="F7" s="1">
        <v>350</v>
      </c>
      <c r="G7" s="1">
        <v>700</v>
      </c>
    </row>
    <row r="8" spans="1:7" x14ac:dyDescent="0.35">
      <c r="A8" s="3">
        <v>46024</v>
      </c>
      <c r="B8" s="1" t="s">
        <v>16</v>
      </c>
      <c r="C8" s="1" t="s">
        <v>159</v>
      </c>
      <c r="D8" s="1" t="s">
        <v>11</v>
      </c>
      <c r="E8" s="1">
        <v>2</v>
      </c>
      <c r="F8" s="1">
        <v>450</v>
      </c>
      <c r="G8" s="1">
        <v>900</v>
      </c>
    </row>
    <row r="9" spans="1:7" x14ac:dyDescent="0.35">
      <c r="A9" s="3">
        <v>46024</v>
      </c>
      <c r="B9" s="1" t="s">
        <v>16</v>
      </c>
      <c r="C9" s="1" t="s">
        <v>159</v>
      </c>
      <c r="D9" s="1" t="s">
        <v>60</v>
      </c>
      <c r="E9" s="1">
        <v>2</v>
      </c>
      <c r="F9" s="1">
        <v>450</v>
      </c>
      <c r="G9" s="1">
        <v>900</v>
      </c>
    </row>
    <row r="10" spans="1:7" x14ac:dyDescent="0.35">
      <c r="A10" s="3">
        <v>46024</v>
      </c>
      <c r="B10" s="1" t="s">
        <v>16</v>
      </c>
      <c r="C10" s="1" t="s">
        <v>159</v>
      </c>
      <c r="D10" s="1" t="s">
        <v>60</v>
      </c>
      <c r="E10" s="1">
        <v>2</v>
      </c>
      <c r="F10" s="1">
        <v>450</v>
      </c>
      <c r="G10" s="1">
        <v>900</v>
      </c>
    </row>
    <row r="11" spans="1:7" x14ac:dyDescent="0.35">
      <c r="A11" s="3">
        <v>46024</v>
      </c>
      <c r="B11" s="1" t="s">
        <v>16</v>
      </c>
      <c r="C11" s="1" t="s">
        <v>159</v>
      </c>
      <c r="D11" s="1" t="s">
        <v>6</v>
      </c>
      <c r="E11" s="1">
        <v>2</v>
      </c>
      <c r="F11" s="1">
        <v>400</v>
      </c>
      <c r="G11" s="1">
        <v>800</v>
      </c>
    </row>
    <row r="12" spans="1:7" x14ac:dyDescent="0.35">
      <c r="A12" s="3">
        <v>46024</v>
      </c>
      <c r="B12" s="1" t="s">
        <v>16</v>
      </c>
      <c r="C12" s="1" t="s">
        <v>159</v>
      </c>
      <c r="D12" s="1" t="s">
        <v>62</v>
      </c>
      <c r="E12" s="1">
        <v>10</v>
      </c>
      <c r="F12" s="1">
        <v>50</v>
      </c>
      <c r="G12" s="1">
        <v>500</v>
      </c>
    </row>
    <row r="13" spans="1:7" x14ac:dyDescent="0.35">
      <c r="A13" s="3">
        <v>46025</v>
      </c>
      <c r="B13" s="1" t="s">
        <v>16</v>
      </c>
      <c r="C13" s="1" t="s">
        <v>164</v>
      </c>
      <c r="D13" s="1" t="s">
        <v>59</v>
      </c>
      <c r="E13" s="1">
        <v>20</v>
      </c>
      <c r="F13" s="1">
        <v>350</v>
      </c>
      <c r="G13" s="1">
        <v>7000</v>
      </c>
    </row>
    <row r="14" spans="1:7" x14ac:dyDescent="0.35">
      <c r="A14" s="3">
        <v>46025</v>
      </c>
      <c r="B14" s="1" t="s">
        <v>16</v>
      </c>
      <c r="C14" s="1" t="s">
        <v>164</v>
      </c>
      <c r="D14" s="1" t="s">
        <v>63</v>
      </c>
      <c r="E14" s="1">
        <v>10</v>
      </c>
      <c r="F14" s="1">
        <v>100</v>
      </c>
      <c r="G14" s="1">
        <v>1000</v>
      </c>
    </row>
    <row r="15" spans="1:7" x14ac:dyDescent="0.35">
      <c r="A15" s="3">
        <v>46025</v>
      </c>
      <c r="B15" s="1" t="s">
        <v>16</v>
      </c>
      <c r="C15" s="1" t="s">
        <v>164</v>
      </c>
      <c r="D15" s="1" t="s">
        <v>12</v>
      </c>
      <c r="E15" s="1">
        <v>4</v>
      </c>
      <c r="F15" s="1">
        <v>450</v>
      </c>
      <c r="G15" s="1">
        <v>1800</v>
      </c>
    </row>
    <row r="16" spans="1:7" x14ac:dyDescent="0.35">
      <c r="A16" s="3">
        <v>46027</v>
      </c>
      <c r="B16" s="1" t="s">
        <v>82</v>
      </c>
      <c r="C16" s="1" t="s">
        <v>156</v>
      </c>
      <c r="D16" s="1" t="s">
        <v>57</v>
      </c>
      <c r="E16" s="1">
        <v>1</v>
      </c>
      <c r="F16" s="1">
        <v>2100</v>
      </c>
      <c r="G16" s="1">
        <v>2100</v>
      </c>
    </row>
    <row r="17" spans="1:7" x14ac:dyDescent="0.35">
      <c r="A17" s="3">
        <v>46027</v>
      </c>
      <c r="B17" s="1" t="s">
        <v>82</v>
      </c>
      <c r="C17" s="1" t="s">
        <v>156</v>
      </c>
      <c r="D17" s="1" t="s">
        <v>9</v>
      </c>
      <c r="E17" s="1">
        <v>1</v>
      </c>
      <c r="F17" s="1">
        <v>1800</v>
      </c>
      <c r="G17" s="1">
        <v>1800</v>
      </c>
    </row>
    <row r="18" spans="1:7" x14ac:dyDescent="0.35">
      <c r="A18" s="3">
        <v>46027</v>
      </c>
      <c r="B18" s="1" t="s">
        <v>82</v>
      </c>
      <c r="C18" s="1" t="s">
        <v>156</v>
      </c>
      <c r="D18" s="1" t="s">
        <v>58</v>
      </c>
      <c r="E18" s="1">
        <v>1</v>
      </c>
      <c r="F18" s="1">
        <v>1800</v>
      </c>
      <c r="G18" s="1">
        <v>1800</v>
      </c>
    </row>
    <row r="19" spans="1:7" x14ac:dyDescent="0.35">
      <c r="A19" s="3">
        <v>46027</v>
      </c>
      <c r="B19" s="1" t="s">
        <v>82</v>
      </c>
      <c r="C19" s="1" t="s">
        <v>156</v>
      </c>
      <c r="D19" s="1" t="s">
        <v>8</v>
      </c>
      <c r="E19" s="1">
        <v>1</v>
      </c>
      <c r="F19" s="1">
        <v>1700</v>
      </c>
      <c r="G19" s="1">
        <v>1700</v>
      </c>
    </row>
    <row r="20" spans="1:7" x14ac:dyDescent="0.35">
      <c r="A20" s="3">
        <v>46028</v>
      </c>
      <c r="B20" s="1" t="s">
        <v>82</v>
      </c>
      <c r="C20" s="1" t="s">
        <v>161</v>
      </c>
      <c r="D20" s="1" t="s">
        <v>7</v>
      </c>
      <c r="E20" s="1">
        <v>1</v>
      </c>
      <c r="F20" s="1">
        <v>1700</v>
      </c>
      <c r="G20" s="1">
        <v>1700</v>
      </c>
    </row>
    <row r="21" spans="1:7" x14ac:dyDescent="0.35">
      <c r="A21" s="3">
        <v>46028</v>
      </c>
      <c r="B21" s="1" t="s">
        <v>82</v>
      </c>
      <c r="C21" s="1" t="s">
        <v>161</v>
      </c>
      <c r="D21" s="1" t="s">
        <v>59</v>
      </c>
      <c r="E21" s="1">
        <v>2</v>
      </c>
      <c r="F21" s="1">
        <v>800</v>
      </c>
      <c r="G21" s="1">
        <v>1600</v>
      </c>
    </row>
    <row r="22" spans="1:7" x14ac:dyDescent="0.35">
      <c r="A22" s="3">
        <v>46029</v>
      </c>
      <c r="B22" s="1" t="s">
        <v>82</v>
      </c>
      <c r="C22" s="1" t="s">
        <v>162</v>
      </c>
      <c r="D22" s="1" t="s">
        <v>11</v>
      </c>
      <c r="E22" s="1">
        <v>1</v>
      </c>
      <c r="F22" s="1">
        <v>2200</v>
      </c>
      <c r="G22" s="1">
        <v>2200</v>
      </c>
    </row>
    <row r="23" spans="1:7" x14ac:dyDescent="0.35">
      <c r="A23" s="3">
        <v>46029</v>
      </c>
      <c r="B23" s="1" t="s">
        <v>82</v>
      </c>
      <c r="C23" s="1" t="s">
        <v>162</v>
      </c>
      <c r="D23" s="1" t="s">
        <v>60</v>
      </c>
      <c r="E23" s="1">
        <v>1</v>
      </c>
      <c r="F23" s="1">
        <v>2200</v>
      </c>
      <c r="G23" s="1">
        <v>2200</v>
      </c>
    </row>
    <row r="24" spans="1:7" x14ac:dyDescent="0.35">
      <c r="A24" s="3">
        <v>46029</v>
      </c>
      <c r="B24" s="1" t="s">
        <v>82</v>
      </c>
      <c r="C24" s="1" t="s">
        <v>162</v>
      </c>
      <c r="D24" s="1" t="s">
        <v>6</v>
      </c>
      <c r="E24" s="1">
        <v>1</v>
      </c>
      <c r="F24" s="1">
        <v>1100</v>
      </c>
      <c r="G24" s="1">
        <v>1100</v>
      </c>
    </row>
    <row r="25" spans="1:7" x14ac:dyDescent="0.35">
      <c r="A25" s="3">
        <v>46030</v>
      </c>
      <c r="B25" s="1" t="s">
        <v>82</v>
      </c>
      <c r="C25" s="1" t="s">
        <v>156</v>
      </c>
      <c r="D25" s="1" t="s">
        <v>62</v>
      </c>
      <c r="E25" s="1">
        <v>2</v>
      </c>
      <c r="F25" s="1">
        <v>250</v>
      </c>
      <c r="G25" s="1">
        <v>500</v>
      </c>
    </row>
    <row r="26" spans="1:7" x14ac:dyDescent="0.35">
      <c r="A26" s="3">
        <v>46030</v>
      </c>
      <c r="B26" s="1" t="s">
        <v>82</v>
      </c>
      <c r="C26" s="1" t="s">
        <v>156</v>
      </c>
      <c r="D26" s="1" t="s">
        <v>63</v>
      </c>
      <c r="E26" s="1">
        <v>2</v>
      </c>
      <c r="F26" s="1">
        <v>500</v>
      </c>
      <c r="G26" s="1">
        <v>1000</v>
      </c>
    </row>
  </sheetData>
  <autoFilter ref="C1:C7" xr:uid="{11C0575B-0374-4142-A15E-66E239B761E1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1E6AC-5EB7-406D-BD96-D65875C32D9D}">
  <sheetPr codeName="Sheet10"/>
  <dimension ref="A1:F1352"/>
  <sheetViews>
    <sheetView workbookViewId="0">
      <selection activeCell="C7" sqref="C7"/>
    </sheetView>
  </sheetViews>
  <sheetFormatPr defaultRowHeight="14.5" x14ac:dyDescent="0.35"/>
  <cols>
    <col min="1" max="1" width="13.08984375" style="1" customWidth="1"/>
    <col min="2" max="2" width="36.7265625" style="1" customWidth="1"/>
    <col min="3" max="3" width="15.54296875" style="1" customWidth="1"/>
    <col min="4" max="5" width="8.7265625" style="1"/>
    <col min="6" max="6" width="19.54296875" style="1" customWidth="1"/>
    <col min="7" max="16384" width="8.7265625" style="1"/>
  </cols>
  <sheetData>
    <row r="1" spans="1:6" x14ac:dyDescent="0.35">
      <c r="A1" s="4" t="s">
        <v>0</v>
      </c>
      <c r="B1" s="4" t="s">
        <v>98</v>
      </c>
      <c r="C1" s="4" t="s">
        <v>55</v>
      </c>
      <c r="D1" s="4" t="s">
        <v>99</v>
      </c>
      <c r="E1" s="4" t="s">
        <v>100</v>
      </c>
      <c r="F1" s="4" t="s">
        <v>101</v>
      </c>
    </row>
    <row r="2" spans="1:6" x14ac:dyDescent="0.35">
      <c r="A2" s="3">
        <v>46027</v>
      </c>
      <c r="B2" s="1" t="s">
        <v>18</v>
      </c>
      <c r="C2" s="1" t="s">
        <v>19</v>
      </c>
      <c r="D2" s="1">
        <v>500</v>
      </c>
      <c r="E2" s="1">
        <v>0</v>
      </c>
      <c r="F2" s="1">
        <v>500</v>
      </c>
    </row>
    <row r="3" spans="1:6" x14ac:dyDescent="0.35">
      <c r="A3" s="3">
        <v>46027</v>
      </c>
      <c r="B3" s="1" t="s">
        <v>21</v>
      </c>
      <c r="C3" s="1" t="s">
        <v>22</v>
      </c>
      <c r="D3" s="1">
        <v>500</v>
      </c>
      <c r="E3" s="1">
        <v>0</v>
      </c>
      <c r="F3" s="1">
        <v>500</v>
      </c>
    </row>
    <row r="4" spans="1:6" x14ac:dyDescent="0.35">
      <c r="A4" s="3">
        <v>46027</v>
      </c>
      <c r="B4" s="1" t="s">
        <v>23</v>
      </c>
      <c r="C4" s="1" t="s">
        <v>24</v>
      </c>
      <c r="D4" s="1">
        <v>100</v>
      </c>
      <c r="E4" s="1">
        <v>0</v>
      </c>
      <c r="F4" s="1">
        <v>100</v>
      </c>
    </row>
    <row r="5" spans="1:6" x14ac:dyDescent="0.35">
      <c r="A5" s="3">
        <v>46027</v>
      </c>
      <c r="B5" s="1" t="s">
        <v>25</v>
      </c>
      <c r="C5" s="1" t="s">
        <v>17</v>
      </c>
      <c r="D5" s="1">
        <v>90</v>
      </c>
      <c r="E5" s="1">
        <v>0</v>
      </c>
      <c r="F5" s="1">
        <v>90</v>
      </c>
    </row>
    <row r="6" spans="1:6" x14ac:dyDescent="0.35">
      <c r="A6" s="3">
        <v>46027</v>
      </c>
      <c r="B6" s="1" t="s">
        <v>26</v>
      </c>
      <c r="C6" s="1" t="s">
        <v>17</v>
      </c>
      <c r="D6" s="1">
        <v>20</v>
      </c>
      <c r="E6" s="1">
        <v>0</v>
      </c>
      <c r="F6" s="1">
        <v>20</v>
      </c>
    </row>
    <row r="7" spans="1:6" x14ac:dyDescent="0.35">
      <c r="A7" s="3">
        <v>46030</v>
      </c>
      <c r="B7" s="1" t="s">
        <v>27</v>
      </c>
      <c r="C7" s="1" t="s">
        <v>19</v>
      </c>
      <c r="D7" s="1">
        <v>300</v>
      </c>
      <c r="E7" s="1">
        <v>0</v>
      </c>
      <c r="F7" s="1">
        <v>300</v>
      </c>
    </row>
    <row r="8" spans="1:6" x14ac:dyDescent="0.35">
      <c r="A8" s="3">
        <v>46030</v>
      </c>
      <c r="B8" s="1" t="s">
        <v>28</v>
      </c>
      <c r="C8" s="1" t="s">
        <v>29</v>
      </c>
      <c r="D8" s="1">
        <v>100</v>
      </c>
      <c r="E8" s="1">
        <v>0</v>
      </c>
      <c r="F8" s="1">
        <v>100</v>
      </c>
    </row>
    <row r="9" spans="1:6" x14ac:dyDescent="0.35">
      <c r="A9" s="10">
        <v>46030</v>
      </c>
      <c r="B9" s="1" t="s">
        <v>30</v>
      </c>
      <c r="C9" s="1" t="s">
        <v>17</v>
      </c>
      <c r="D9" s="1">
        <v>500</v>
      </c>
      <c r="E9" s="1">
        <v>0</v>
      </c>
      <c r="F9" s="1">
        <v>500</v>
      </c>
    </row>
    <row r="10" spans="1:6" x14ac:dyDescent="0.35">
      <c r="A10" s="10">
        <v>46030</v>
      </c>
      <c r="B10" s="1" t="s">
        <v>31</v>
      </c>
      <c r="C10" s="1" t="s">
        <v>17</v>
      </c>
      <c r="D10" s="1">
        <v>400</v>
      </c>
      <c r="E10" s="1">
        <v>0</v>
      </c>
      <c r="F10" s="1">
        <v>400</v>
      </c>
    </row>
    <row r="11" spans="1:6" x14ac:dyDescent="0.35">
      <c r="A11" s="10">
        <v>46030</v>
      </c>
      <c r="B11" s="1" t="s">
        <v>32</v>
      </c>
      <c r="C11" s="1" t="s">
        <v>17</v>
      </c>
      <c r="D11" s="1">
        <v>500</v>
      </c>
      <c r="E11" s="1">
        <v>0</v>
      </c>
      <c r="F11" s="1">
        <v>500</v>
      </c>
    </row>
    <row r="12" spans="1:6" x14ac:dyDescent="0.35">
      <c r="A12" s="10">
        <v>46030</v>
      </c>
      <c r="B12" s="1" t="s">
        <v>33</v>
      </c>
      <c r="C12" s="1" t="s">
        <v>22</v>
      </c>
      <c r="D12" s="1">
        <v>200</v>
      </c>
      <c r="E12" s="1">
        <v>0</v>
      </c>
      <c r="F12" s="1">
        <v>200</v>
      </c>
    </row>
    <row r="13" spans="1:6" x14ac:dyDescent="0.35">
      <c r="A13" s="10">
        <v>46030</v>
      </c>
      <c r="B13" s="1" t="s">
        <v>34</v>
      </c>
      <c r="C13" s="1" t="s">
        <v>24</v>
      </c>
      <c r="D13" s="1">
        <v>300</v>
      </c>
      <c r="E13" s="1">
        <v>0</v>
      </c>
      <c r="F13" s="1">
        <v>300</v>
      </c>
    </row>
    <row r="14" spans="1:6" x14ac:dyDescent="0.35">
      <c r="A14" s="10">
        <v>46030</v>
      </c>
      <c r="B14" s="1" t="s">
        <v>35</v>
      </c>
      <c r="C14" s="1" t="s">
        <v>36</v>
      </c>
      <c r="D14" s="1">
        <v>500</v>
      </c>
      <c r="E14" s="1">
        <v>0</v>
      </c>
      <c r="F14" s="1">
        <v>500</v>
      </c>
    </row>
    <row r="15" spans="1:6" x14ac:dyDescent="0.35">
      <c r="A15" s="10">
        <v>46030</v>
      </c>
      <c r="B15" s="1" t="s">
        <v>37</v>
      </c>
      <c r="C15" s="1" t="s">
        <v>22</v>
      </c>
      <c r="D15" s="1">
        <v>50</v>
      </c>
      <c r="E15" s="1">
        <v>0</v>
      </c>
      <c r="F15" s="1">
        <v>50</v>
      </c>
    </row>
    <row r="16" spans="1:6" x14ac:dyDescent="0.35">
      <c r="A16" s="10">
        <v>46029</v>
      </c>
      <c r="B16" s="1" t="s">
        <v>59</v>
      </c>
      <c r="C16" s="1" t="s">
        <v>17</v>
      </c>
      <c r="D16" s="1">
        <v>20</v>
      </c>
      <c r="E16" s="1">
        <v>0</v>
      </c>
      <c r="F16" s="1">
        <v>20</v>
      </c>
    </row>
    <row r="17" spans="1:6" x14ac:dyDescent="0.35">
      <c r="A17" s="10">
        <v>46029</v>
      </c>
      <c r="B17" s="1" t="s">
        <v>38</v>
      </c>
      <c r="C17" s="1" t="s">
        <v>29</v>
      </c>
      <c r="D17" s="1">
        <v>300</v>
      </c>
      <c r="E17" s="1">
        <v>0</v>
      </c>
      <c r="F17" s="1">
        <v>300</v>
      </c>
    </row>
    <row r="18" spans="1:6" x14ac:dyDescent="0.35">
      <c r="A18" s="10">
        <v>46029</v>
      </c>
      <c r="B18" s="1" t="s">
        <v>39</v>
      </c>
      <c r="C18" s="1" t="s">
        <v>29</v>
      </c>
      <c r="D18" s="1">
        <v>300</v>
      </c>
      <c r="E18" s="1">
        <v>0</v>
      </c>
      <c r="F18" s="1">
        <v>300</v>
      </c>
    </row>
    <row r="19" spans="1:6" x14ac:dyDescent="0.35">
      <c r="A19" s="10">
        <v>46029</v>
      </c>
      <c r="B19" s="1" t="s">
        <v>40</v>
      </c>
      <c r="C19" s="1" t="s">
        <v>22</v>
      </c>
      <c r="D19" s="1">
        <v>200</v>
      </c>
      <c r="E19" s="1">
        <v>0</v>
      </c>
      <c r="F19" s="1">
        <v>200</v>
      </c>
    </row>
    <row r="20" spans="1:6" x14ac:dyDescent="0.35">
      <c r="A20" s="10">
        <v>46029</v>
      </c>
      <c r="B20" s="1" t="s">
        <v>41</v>
      </c>
      <c r="C20" s="1" t="s">
        <v>29</v>
      </c>
      <c r="D20" s="1">
        <v>500</v>
      </c>
      <c r="E20" s="1">
        <v>0</v>
      </c>
      <c r="F20" s="1">
        <v>500</v>
      </c>
    </row>
    <row r="21" spans="1:6" x14ac:dyDescent="0.35">
      <c r="A21" s="10">
        <v>46029</v>
      </c>
      <c r="B21" s="1" t="s">
        <v>42</v>
      </c>
      <c r="C21" s="1" t="s">
        <v>43</v>
      </c>
      <c r="D21" s="1">
        <v>500</v>
      </c>
      <c r="E21" s="1">
        <v>0</v>
      </c>
      <c r="F21" s="1">
        <v>500</v>
      </c>
    </row>
    <row r="22" spans="1:6" x14ac:dyDescent="0.35">
      <c r="A22" s="10">
        <v>46029</v>
      </c>
      <c r="B22" s="1" t="s">
        <v>44</v>
      </c>
      <c r="C22" s="1" t="s">
        <v>45</v>
      </c>
      <c r="D22" s="1">
        <v>400</v>
      </c>
      <c r="E22" s="1">
        <v>0</v>
      </c>
      <c r="F22" s="1">
        <v>400</v>
      </c>
    </row>
    <row r="23" spans="1:6" x14ac:dyDescent="0.35">
      <c r="A23" s="10">
        <v>46023</v>
      </c>
      <c r="B23" s="1" t="s">
        <v>112</v>
      </c>
      <c r="C23" s="1" t="s">
        <v>24</v>
      </c>
      <c r="D23" s="1">
        <v>40</v>
      </c>
      <c r="E23" s="1">
        <v>0</v>
      </c>
      <c r="F23" s="1">
        <v>40</v>
      </c>
    </row>
    <row r="24" spans="1:6" x14ac:dyDescent="0.35">
      <c r="A24" s="10">
        <v>46023</v>
      </c>
      <c r="B24" s="1" t="s">
        <v>111</v>
      </c>
      <c r="C24" s="1" t="s">
        <v>22</v>
      </c>
      <c r="D24" s="1">
        <v>100</v>
      </c>
      <c r="E24" s="1">
        <v>0</v>
      </c>
      <c r="F24" s="1">
        <v>100</v>
      </c>
    </row>
    <row r="25" spans="1:6" x14ac:dyDescent="0.35">
      <c r="A25" s="10">
        <v>46023</v>
      </c>
      <c r="B25" s="1" t="s">
        <v>110</v>
      </c>
      <c r="C25" s="1" t="s">
        <v>24</v>
      </c>
      <c r="D25" s="1">
        <v>200</v>
      </c>
      <c r="E25" s="1">
        <v>0</v>
      </c>
      <c r="F25" s="1">
        <v>200</v>
      </c>
    </row>
    <row r="26" spans="1:6" x14ac:dyDescent="0.35">
      <c r="A26" s="10">
        <v>46023</v>
      </c>
      <c r="B26" s="1" t="s">
        <v>109</v>
      </c>
      <c r="C26" s="1" t="s">
        <v>22</v>
      </c>
      <c r="D26" s="1">
        <v>50</v>
      </c>
      <c r="E26" s="1">
        <v>0</v>
      </c>
      <c r="F26" s="1">
        <v>50</v>
      </c>
    </row>
    <row r="27" spans="1:6" x14ac:dyDescent="0.35">
      <c r="A27" s="10">
        <v>46023</v>
      </c>
      <c r="B27" s="1" t="s">
        <v>107</v>
      </c>
      <c r="C27" s="1" t="s">
        <v>108</v>
      </c>
      <c r="D27" s="1">
        <v>1000</v>
      </c>
      <c r="E27" s="1">
        <v>0</v>
      </c>
      <c r="F27" s="1">
        <v>1000</v>
      </c>
    </row>
    <row r="28" spans="1:6" x14ac:dyDescent="0.35">
      <c r="A28" s="10">
        <v>46023</v>
      </c>
      <c r="B28" s="1" t="s">
        <v>107</v>
      </c>
      <c r="C28" s="1" t="s">
        <v>108</v>
      </c>
      <c r="D28" s="1">
        <v>10000</v>
      </c>
      <c r="E28" s="1">
        <v>0</v>
      </c>
      <c r="F28" s="1">
        <v>11000</v>
      </c>
    </row>
    <row r="29" spans="1:6" x14ac:dyDescent="0.35">
      <c r="A29" s="10">
        <v>46026</v>
      </c>
      <c r="B29" s="1" t="s">
        <v>54</v>
      </c>
      <c r="C29" s="1" t="s">
        <v>29</v>
      </c>
      <c r="D29" s="1">
        <v>190</v>
      </c>
      <c r="E29" s="1">
        <v>0</v>
      </c>
      <c r="F29" s="1">
        <v>190</v>
      </c>
    </row>
    <row r="30" spans="1:6" x14ac:dyDescent="0.35">
      <c r="A30" s="10">
        <v>46026</v>
      </c>
      <c r="B30" s="1" t="s">
        <v>52</v>
      </c>
      <c r="C30" s="1" t="s">
        <v>53</v>
      </c>
      <c r="D30" s="1">
        <v>50</v>
      </c>
      <c r="E30" s="1">
        <v>0</v>
      </c>
      <c r="F30" s="1">
        <v>50</v>
      </c>
    </row>
    <row r="31" spans="1:6" x14ac:dyDescent="0.35">
      <c r="A31" s="10">
        <v>46026</v>
      </c>
      <c r="B31" s="1" t="s">
        <v>51</v>
      </c>
      <c r="C31" s="1" t="s">
        <v>22</v>
      </c>
      <c r="D31" s="1">
        <v>400</v>
      </c>
      <c r="E31" s="1">
        <v>0</v>
      </c>
      <c r="F31" s="1">
        <v>400</v>
      </c>
    </row>
    <row r="32" spans="1:6" x14ac:dyDescent="0.35">
      <c r="A32" s="10">
        <v>46026</v>
      </c>
      <c r="B32" s="1" t="s">
        <v>50</v>
      </c>
      <c r="C32" s="1" t="s">
        <v>19</v>
      </c>
      <c r="D32" s="1">
        <v>500</v>
      </c>
      <c r="E32" s="1">
        <v>0</v>
      </c>
      <c r="F32" s="1">
        <v>500</v>
      </c>
    </row>
    <row r="33" spans="1:6" x14ac:dyDescent="0.35">
      <c r="A33" s="10">
        <v>46026</v>
      </c>
      <c r="B33" s="1" t="s">
        <v>49</v>
      </c>
      <c r="C33" s="1" t="s">
        <v>24</v>
      </c>
      <c r="D33" s="1">
        <v>5000</v>
      </c>
      <c r="E33" s="1">
        <v>0</v>
      </c>
      <c r="F33" s="1">
        <v>5000</v>
      </c>
    </row>
    <row r="34" spans="1:6" x14ac:dyDescent="0.35">
      <c r="A34" s="10">
        <v>46026</v>
      </c>
      <c r="B34" s="1" t="s">
        <v>48</v>
      </c>
      <c r="C34" s="1" t="s">
        <v>24</v>
      </c>
      <c r="D34" s="1">
        <v>1000</v>
      </c>
      <c r="E34" s="1">
        <v>0</v>
      </c>
      <c r="F34" s="1">
        <v>1000</v>
      </c>
    </row>
    <row r="35" spans="1:6" x14ac:dyDescent="0.35">
      <c r="A35" s="10">
        <v>46026</v>
      </c>
      <c r="B35" s="1" t="s">
        <v>47</v>
      </c>
      <c r="C35" s="1" t="s">
        <v>19</v>
      </c>
      <c r="D35" s="1">
        <v>500</v>
      </c>
      <c r="E35" s="1">
        <v>0</v>
      </c>
      <c r="F35" s="1">
        <v>500</v>
      </c>
    </row>
    <row r="36" spans="1:6" x14ac:dyDescent="0.35">
      <c r="A36" s="10">
        <v>46023</v>
      </c>
      <c r="B36" s="1" t="s">
        <v>107</v>
      </c>
      <c r="C36" s="1" t="s">
        <v>108</v>
      </c>
      <c r="D36" s="1">
        <v>0</v>
      </c>
      <c r="E36" s="1">
        <v>360</v>
      </c>
      <c r="F36" s="1">
        <v>10640</v>
      </c>
    </row>
    <row r="37" spans="1:6" x14ac:dyDescent="0.35">
      <c r="A37" s="10">
        <v>46023</v>
      </c>
      <c r="B37" s="1" t="s">
        <v>109</v>
      </c>
      <c r="C37" s="1" t="s">
        <v>22</v>
      </c>
      <c r="D37" s="1">
        <v>0</v>
      </c>
      <c r="E37" s="1">
        <v>3</v>
      </c>
      <c r="F37" s="1">
        <v>47</v>
      </c>
    </row>
    <row r="38" spans="1:6" x14ac:dyDescent="0.35">
      <c r="A38" s="10">
        <v>46023</v>
      </c>
      <c r="B38" s="1" t="s">
        <v>110</v>
      </c>
      <c r="C38" s="1" t="s">
        <v>24</v>
      </c>
      <c r="D38" s="1">
        <v>0</v>
      </c>
      <c r="E38" s="1">
        <v>6</v>
      </c>
      <c r="F38" s="1">
        <v>194</v>
      </c>
    </row>
    <row r="39" spans="1:6" x14ac:dyDescent="0.35">
      <c r="A39" s="10">
        <v>46023</v>
      </c>
      <c r="B39" s="1" t="s">
        <v>111</v>
      </c>
      <c r="C39" s="1" t="s">
        <v>22</v>
      </c>
      <c r="D39" s="1">
        <v>0</v>
      </c>
      <c r="E39" s="1">
        <v>0.1</v>
      </c>
      <c r="F39" s="1">
        <v>99.9</v>
      </c>
    </row>
    <row r="40" spans="1:6" x14ac:dyDescent="0.35">
      <c r="A40" s="10">
        <v>46023</v>
      </c>
      <c r="B40" s="1" t="s">
        <v>112</v>
      </c>
      <c r="C40" s="1" t="s">
        <v>24</v>
      </c>
      <c r="D40" s="1">
        <v>0</v>
      </c>
      <c r="E40" s="1">
        <v>0.2</v>
      </c>
      <c r="F40" s="1">
        <v>39.799999999999997</v>
      </c>
    </row>
    <row r="41" spans="1:6" x14ac:dyDescent="0.35">
      <c r="A41" s="10">
        <v>46023</v>
      </c>
      <c r="B41" s="1" t="s">
        <v>57</v>
      </c>
      <c r="C41" s="1" t="s">
        <v>17</v>
      </c>
      <c r="D41" s="1">
        <v>2</v>
      </c>
      <c r="E41" s="1">
        <v>0</v>
      </c>
      <c r="F41" s="1">
        <v>2</v>
      </c>
    </row>
    <row r="42" spans="1:6" x14ac:dyDescent="0.35">
      <c r="A42" s="10">
        <v>46023</v>
      </c>
      <c r="B42" s="1" t="s">
        <v>107</v>
      </c>
      <c r="C42" s="1" t="s">
        <v>108</v>
      </c>
      <c r="D42" s="1">
        <v>0</v>
      </c>
      <c r="E42" s="1">
        <v>500</v>
      </c>
      <c r="F42" s="1">
        <v>10140</v>
      </c>
    </row>
    <row r="43" spans="1:6" x14ac:dyDescent="0.35">
      <c r="A43" s="10">
        <v>46023</v>
      </c>
      <c r="B43" s="1" t="s">
        <v>109</v>
      </c>
      <c r="C43" s="1" t="s">
        <v>22</v>
      </c>
      <c r="D43" s="1">
        <v>0</v>
      </c>
      <c r="E43" s="1">
        <v>3</v>
      </c>
      <c r="F43" s="1">
        <v>44</v>
      </c>
    </row>
    <row r="44" spans="1:6" x14ac:dyDescent="0.35">
      <c r="A44" s="10">
        <v>46023</v>
      </c>
      <c r="B44" s="1" t="s">
        <v>110</v>
      </c>
      <c r="C44" s="1" t="s">
        <v>24</v>
      </c>
      <c r="D44" s="1">
        <v>0</v>
      </c>
      <c r="E44" s="1">
        <v>1</v>
      </c>
      <c r="F44" s="1">
        <v>193</v>
      </c>
    </row>
    <row r="45" spans="1:6" x14ac:dyDescent="0.35">
      <c r="A45" s="10">
        <v>46023</v>
      </c>
      <c r="B45" s="1" t="s">
        <v>111</v>
      </c>
      <c r="C45" s="1" t="s">
        <v>22</v>
      </c>
      <c r="D45" s="1">
        <v>0</v>
      </c>
      <c r="E45" s="1">
        <v>0.1</v>
      </c>
      <c r="F45" s="1">
        <v>99.800000000000011</v>
      </c>
    </row>
    <row r="46" spans="1:6" x14ac:dyDescent="0.35">
      <c r="A46" s="3">
        <v>46023</v>
      </c>
      <c r="B46" s="1" t="s">
        <v>112</v>
      </c>
      <c r="C46" s="1" t="s">
        <v>24</v>
      </c>
      <c r="D46" s="1">
        <v>0</v>
      </c>
      <c r="E46" s="1">
        <v>0.2</v>
      </c>
      <c r="F46" s="1">
        <v>39.599999999999994</v>
      </c>
    </row>
    <row r="47" spans="1:6" x14ac:dyDescent="0.35">
      <c r="A47" s="3">
        <v>46023</v>
      </c>
      <c r="B47" s="1" t="s">
        <v>9</v>
      </c>
      <c r="C47" s="1" t="s">
        <v>17</v>
      </c>
      <c r="D47" s="1">
        <v>2</v>
      </c>
      <c r="E47" s="1">
        <v>0</v>
      </c>
      <c r="F47" s="1">
        <v>2</v>
      </c>
    </row>
    <row r="48" spans="1:6" x14ac:dyDescent="0.35">
      <c r="A48" s="10">
        <v>46023</v>
      </c>
      <c r="B48" s="1" t="s">
        <v>107</v>
      </c>
      <c r="C48" s="1" t="s">
        <v>108</v>
      </c>
      <c r="D48" s="1">
        <v>0</v>
      </c>
      <c r="E48" s="1">
        <v>500</v>
      </c>
      <c r="F48" s="1">
        <v>9640</v>
      </c>
    </row>
    <row r="49" spans="1:6" x14ac:dyDescent="0.35">
      <c r="A49" s="10">
        <v>46023</v>
      </c>
      <c r="B49" s="1" t="s">
        <v>109</v>
      </c>
      <c r="C49" s="1" t="s">
        <v>22</v>
      </c>
      <c r="D49" s="1">
        <v>0</v>
      </c>
      <c r="E49" s="1">
        <v>3</v>
      </c>
      <c r="F49" s="1">
        <v>41</v>
      </c>
    </row>
    <row r="50" spans="1:6" x14ac:dyDescent="0.35">
      <c r="A50" s="10">
        <v>46023</v>
      </c>
      <c r="B50" s="1" t="s">
        <v>110</v>
      </c>
      <c r="C50" s="1" t="s">
        <v>24</v>
      </c>
      <c r="D50" s="1">
        <v>0</v>
      </c>
      <c r="E50" s="1">
        <v>1</v>
      </c>
      <c r="F50" s="1">
        <v>192</v>
      </c>
    </row>
    <row r="51" spans="1:6" x14ac:dyDescent="0.35">
      <c r="A51" s="10">
        <v>46023</v>
      </c>
      <c r="B51" s="1" t="s">
        <v>111</v>
      </c>
      <c r="C51" s="1" t="s">
        <v>22</v>
      </c>
      <c r="D51" s="1">
        <v>0</v>
      </c>
      <c r="E51" s="1">
        <v>0.1</v>
      </c>
      <c r="F51" s="1">
        <v>99.7</v>
      </c>
    </row>
    <row r="52" spans="1:6" x14ac:dyDescent="0.35">
      <c r="A52" s="10">
        <v>46023</v>
      </c>
      <c r="B52" s="1" t="s">
        <v>112</v>
      </c>
      <c r="C52" s="1" t="s">
        <v>24</v>
      </c>
      <c r="D52" s="1">
        <v>0</v>
      </c>
      <c r="E52" s="1">
        <v>0.2</v>
      </c>
      <c r="F52" s="1">
        <v>39.4</v>
      </c>
    </row>
    <row r="53" spans="1:6" x14ac:dyDescent="0.35">
      <c r="A53" s="10">
        <v>46023</v>
      </c>
      <c r="B53" s="1" t="s">
        <v>58</v>
      </c>
      <c r="C53" s="1" t="s">
        <v>17</v>
      </c>
      <c r="D53" s="1">
        <v>2</v>
      </c>
      <c r="E53" s="1">
        <v>0</v>
      </c>
      <c r="F53" s="1">
        <v>2</v>
      </c>
    </row>
    <row r="54" spans="1:6" x14ac:dyDescent="0.35">
      <c r="A54" s="10">
        <v>46023</v>
      </c>
      <c r="B54" s="1" t="s">
        <v>107</v>
      </c>
      <c r="C54" s="1" t="s">
        <v>108</v>
      </c>
      <c r="D54" s="1">
        <v>0</v>
      </c>
      <c r="E54" s="1">
        <v>500</v>
      </c>
      <c r="F54" s="1">
        <v>9140</v>
      </c>
    </row>
    <row r="55" spans="1:6" x14ac:dyDescent="0.35">
      <c r="A55" s="10">
        <v>46023</v>
      </c>
      <c r="B55" s="1" t="s">
        <v>109</v>
      </c>
      <c r="C55" s="1" t="s">
        <v>22</v>
      </c>
      <c r="D55" s="1">
        <v>0</v>
      </c>
      <c r="E55" s="1">
        <v>3</v>
      </c>
      <c r="F55" s="1">
        <v>38</v>
      </c>
    </row>
    <row r="56" spans="1:6" x14ac:dyDescent="0.35">
      <c r="A56" s="10">
        <v>46023</v>
      </c>
      <c r="B56" s="1" t="s">
        <v>110</v>
      </c>
      <c r="C56" s="1" t="s">
        <v>24</v>
      </c>
      <c r="D56" s="1">
        <v>0</v>
      </c>
      <c r="E56" s="1">
        <v>1</v>
      </c>
      <c r="F56" s="1">
        <v>191</v>
      </c>
    </row>
    <row r="57" spans="1:6" x14ac:dyDescent="0.35">
      <c r="A57" s="10">
        <v>46023</v>
      </c>
      <c r="B57" s="1" t="s">
        <v>111</v>
      </c>
      <c r="C57" s="1" t="s">
        <v>22</v>
      </c>
      <c r="D57" s="1">
        <v>0</v>
      </c>
      <c r="E57" s="1">
        <v>0.1</v>
      </c>
      <c r="F57" s="1">
        <v>99.600000000000009</v>
      </c>
    </row>
    <row r="58" spans="1:6" x14ac:dyDescent="0.35">
      <c r="A58" s="10">
        <v>46023</v>
      </c>
      <c r="B58" s="1" t="s">
        <v>112</v>
      </c>
      <c r="C58" s="1" t="s">
        <v>24</v>
      </c>
      <c r="D58" s="1">
        <v>0</v>
      </c>
      <c r="E58" s="1">
        <v>0.2</v>
      </c>
      <c r="F58" s="1">
        <v>39.199999999999996</v>
      </c>
    </row>
    <row r="59" spans="1:6" x14ac:dyDescent="0.35">
      <c r="A59" s="10">
        <v>46023</v>
      </c>
      <c r="B59" s="1" t="s">
        <v>8</v>
      </c>
      <c r="C59" s="1" t="s">
        <v>17</v>
      </c>
      <c r="D59" s="1">
        <v>2</v>
      </c>
      <c r="E59" s="1">
        <v>0</v>
      </c>
      <c r="F59" s="1">
        <v>2</v>
      </c>
    </row>
    <row r="60" spans="1:6" x14ac:dyDescent="0.35">
      <c r="A60" s="10">
        <v>46024</v>
      </c>
      <c r="B60" s="1" t="s">
        <v>107</v>
      </c>
      <c r="C60" s="1" t="s">
        <v>108</v>
      </c>
      <c r="D60" s="1">
        <v>0</v>
      </c>
      <c r="E60" s="1">
        <v>360</v>
      </c>
      <c r="F60" s="1">
        <v>8780</v>
      </c>
    </row>
    <row r="61" spans="1:6" x14ac:dyDescent="0.35">
      <c r="A61" s="10">
        <v>46024</v>
      </c>
      <c r="B61" s="1" t="s">
        <v>109</v>
      </c>
      <c r="C61" s="1" t="s">
        <v>22</v>
      </c>
      <c r="D61" s="1">
        <v>0</v>
      </c>
      <c r="E61" s="1">
        <v>3</v>
      </c>
      <c r="F61" s="1">
        <v>35</v>
      </c>
    </row>
    <row r="62" spans="1:6" x14ac:dyDescent="0.35">
      <c r="A62" s="10">
        <v>46024</v>
      </c>
      <c r="B62" s="1" t="s">
        <v>110</v>
      </c>
      <c r="C62" s="1" t="s">
        <v>24</v>
      </c>
      <c r="D62" s="1">
        <v>0</v>
      </c>
      <c r="E62" s="1">
        <v>1</v>
      </c>
      <c r="F62" s="1">
        <v>190</v>
      </c>
    </row>
    <row r="63" spans="1:6" x14ac:dyDescent="0.35">
      <c r="A63" s="10">
        <v>46024</v>
      </c>
      <c r="B63" s="1" t="s">
        <v>111</v>
      </c>
      <c r="C63" s="1" t="s">
        <v>22</v>
      </c>
      <c r="D63" s="1">
        <v>0</v>
      </c>
      <c r="E63" s="1">
        <v>0.1</v>
      </c>
      <c r="F63" s="1">
        <v>99.5</v>
      </c>
    </row>
    <row r="64" spans="1:6" x14ac:dyDescent="0.35">
      <c r="A64" s="10">
        <v>46024</v>
      </c>
      <c r="B64" s="1" t="s">
        <v>112</v>
      </c>
      <c r="C64" s="1" t="s">
        <v>24</v>
      </c>
      <c r="D64" s="1">
        <v>0</v>
      </c>
      <c r="E64" s="1">
        <v>0.2</v>
      </c>
      <c r="F64" s="1">
        <v>39</v>
      </c>
    </row>
    <row r="65" spans="1:6" x14ac:dyDescent="0.35">
      <c r="A65" s="10">
        <v>46024</v>
      </c>
      <c r="B65" s="1" t="s">
        <v>7</v>
      </c>
      <c r="C65" s="1" t="s">
        <v>17</v>
      </c>
      <c r="D65" s="1">
        <v>2</v>
      </c>
      <c r="E65" s="1">
        <v>0</v>
      </c>
      <c r="F65" s="1">
        <v>2</v>
      </c>
    </row>
    <row r="66" spans="1:6" x14ac:dyDescent="0.35">
      <c r="A66" s="10">
        <v>46024</v>
      </c>
      <c r="B66" s="1" t="s">
        <v>107</v>
      </c>
      <c r="C66" s="1" t="s">
        <v>108</v>
      </c>
      <c r="D66" s="1">
        <v>0</v>
      </c>
      <c r="E66" s="1">
        <v>360</v>
      </c>
      <c r="F66" s="1">
        <v>8420</v>
      </c>
    </row>
    <row r="67" spans="1:6" x14ac:dyDescent="0.35">
      <c r="A67" s="10">
        <v>46024</v>
      </c>
      <c r="B67" s="1" t="s">
        <v>109</v>
      </c>
      <c r="C67" s="1" t="s">
        <v>22</v>
      </c>
      <c r="D67" s="1">
        <v>0</v>
      </c>
      <c r="E67" s="1">
        <v>3</v>
      </c>
      <c r="F67" s="1">
        <v>32</v>
      </c>
    </row>
    <row r="68" spans="1:6" x14ac:dyDescent="0.35">
      <c r="A68" s="10">
        <v>46024</v>
      </c>
      <c r="B68" s="1" t="s">
        <v>110</v>
      </c>
      <c r="C68" s="1" t="s">
        <v>24</v>
      </c>
      <c r="D68" s="1">
        <v>0</v>
      </c>
      <c r="E68" s="1">
        <v>0.5</v>
      </c>
      <c r="F68" s="1">
        <v>189.5</v>
      </c>
    </row>
    <row r="69" spans="1:6" x14ac:dyDescent="0.35">
      <c r="A69" s="10">
        <v>46024</v>
      </c>
      <c r="B69" s="1" t="s">
        <v>111</v>
      </c>
      <c r="C69" s="1" t="s">
        <v>22</v>
      </c>
      <c r="D69" s="1">
        <v>0</v>
      </c>
      <c r="E69" s="1">
        <v>0.1</v>
      </c>
      <c r="F69" s="1">
        <v>99.4</v>
      </c>
    </row>
    <row r="70" spans="1:6" x14ac:dyDescent="0.35">
      <c r="A70" s="10">
        <v>46024</v>
      </c>
      <c r="B70" s="1" t="s">
        <v>112</v>
      </c>
      <c r="C70" s="1" t="s">
        <v>24</v>
      </c>
      <c r="D70" s="1">
        <v>0</v>
      </c>
      <c r="E70" s="1">
        <v>0.2</v>
      </c>
      <c r="F70" s="1">
        <v>38.799999999999997</v>
      </c>
    </row>
    <row r="71" spans="1:6" x14ac:dyDescent="0.35">
      <c r="A71" s="10">
        <v>46024</v>
      </c>
      <c r="B71" s="1" t="s">
        <v>59</v>
      </c>
      <c r="C71" s="1" t="s">
        <v>17</v>
      </c>
      <c r="D71" s="1">
        <v>2</v>
      </c>
      <c r="E71" s="1">
        <v>0</v>
      </c>
      <c r="F71" s="1">
        <v>22</v>
      </c>
    </row>
    <row r="72" spans="1:6" x14ac:dyDescent="0.35">
      <c r="A72" s="10">
        <v>46024</v>
      </c>
      <c r="B72" s="1" t="s">
        <v>11</v>
      </c>
      <c r="C72" s="1" t="s">
        <v>17</v>
      </c>
      <c r="D72" s="1">
        <v>2</v>
      </c>
      <c r="E72" s="1">
        <v>0</v>
      </c>
      <c r="F72" s="1">
        <v>2</v>
      </c>
    </row>
    <row r="73" spans="1:6" x14ac:dyDescent="0.35">
      <c r="A73" s="10">
        <v>46024</v>
      </c>
      <c r="B73" s="1" t="s">
        <v>107</v>
      </c>
      <c r="C73" s="1" t="s">
        <v>108</v>
      </c>
      <c r="D73" s="1">
        <v>0</v>
      </c>
      <c r="E73" s="1">
        <v>360</v>
      </c>
      <c r="F73" s="1">
        <v>8060</v>
      </c>
    </row>
    <row r="74" spans="1:6" x14ac:dyDescent="0.35">
      <c r="A74" s="10">
        <v>46024</v>
      </c>
      <c r="B74" s="1" t="s">
        <v>109</v>
      </c>
      <c r="C74" s="1" t="s">
        <v>22</v>
      </c>
      <c r="D74" s="1">
        <v>0</v>
      </c>
      <c r="E74" s="1">
        <v>3</v>
      </c>
      <c r="F74" s="1">
        <v>29</v>
      </c>
    </row>
    <row r="75" spans="1:6" x14ac:dyDescent="0.35">
      <c r="A75" s="10">
        <v>46024</v>
      </c>
      <c r="B75" s="1" t="s">
        <v>110</v>
      </c>
      <c r="C75" s="1" t="s">
        <v>24</v>
      </c>
      <c r="D75" s="1">
        <v>0</v>
      </c>
      <c r="E75" s="1">
        <v>6</v>
      </c>
      <c r="F75" s="1">
        <v>183.5</v>
      </c>
    </row>
    <row r="76" spans="1:6" x14ac:dyDescent="0.35">
      <c r="A76" s="10">
        <v>46024</v>
      </c>
      <c r="B76" s="1" t="s">
        <v>111</v>
      </c>
      <c r="C76" s="1" t="s">
        <v>22</v>
      </c>
      <c r="D76" s="1">
        <v>0</v>
      </c>
      <c r="E76" s="1">
        <v>0.1</v>
      </c>
      <c r="F76" s="1">
        <v>99.300000000000011</v>
      </c>
    </row>
    <row r="77" spans="1:6" x14ac:dyDescent="0.35">
      <c r="A77" s="10">
        <v>46024</v>
      </c>
      <c r="B77" s="1" t="s">
        <v>112</v>
      </c>
      <c r="C77" s="1" t="s">
        <v>24</v>
      </c>
      <c r="D77" s="1">
        <v>0</v>
      </c>
      <c r="E77" s="1">
        <v>0.2</v>
      </c>
      <c r="F77" s="1">
        <v>38.599999999999994</v>
      </c>
    </row>
    <row r="78" spans="1:6" x14ac:dyDescent="0.35">
      <c r="A78" s="10">
        <v>46024</v>
      </c>
      <c r="B78" s="1" t="s">
        <v>60</v>
      </c>
      <c r="C78" s="1" t="s">
        <v>17</v>
      </c>
      <c r="D78" s="1">
        <v>2</v>
      </c>
      <c r="E78" s="1">
        <v>0</v>
      </c>
      <c r="F78" s="1">
        <v>2</v>
      </c>
    </row>
    <row r="79" spans="1:6" x14ac:dyDescent="0.35">
      <c r="A79" s="10">
        <v>46024</v>
      </c>
      <c r="B79" s="1" t="s">
        <v>107</v>
      </c>
      <c r="C79" s="1" t="s">
        <v>108</v>
      </c>
      <c r="D79" s="1">
        <v>0</v>
      </c>
      <c r="E79" s="1">
        <v>360</v>
      </c>
      <c r="F79" s="1">
        <v>7700</v>
      </c>
    </row>
    <row r="80" spans="1:6" x14ac:dyDescent="0.35">
      <c r="A80" s="10">
        <v>46024</v>
      </c>
      <c r="B80" s="1" t="s">
        <v>109</v>
      </c>
      <c r="C80" s="1" t="s">
        <v>22</v>
      </c>
      <c r="D80" s="1">
        <v>0</v>
      </c>
      <c r="E80" s="1">
        <v>3</v>
      </c>
      <c r="F80" s="1">
        <v>26</v>
      </c>
    </row>
    <row r="81" spans="1:6" x14ac:dyDescent="0.35">
      <c r="A81" s="10">
        <v>46024</v>
      </c>
      <c r="B81" s="1" t="s">
        <v>110</v>
      </c>
      <c r="C81" s="1" t="s">
        <v>24</v>
      </c>
      <c r="D81" s="1">
        <v>0</v>
      </c>
      <c r="E81" s="1">
        <v>6</v>
      </c>
      <c r="F81" s="1">
        <v>177.5</v>
      </c>
    </row>
    <row r="82" spans="1:6" x14ac:dyDescent="0.35">
      <c r="A82" s="10">
        <v>46024</v>
      </c>
      <c r="B82" s="1" t="s">
        <v>111</v>
      </c>
      <c r="C82" s="1" t="s">
        <v>22</v>
      </c>
      <c r="D82" s="1">
        <v>0</v>
      </c>
      <c r="E82" s="1">
        <v>0.1</v>
      </c>
      <c r="F82" s="1">
        <v>99.2</v>
      </c>
    </row>
    <row r="83" spans="1:6" x14ac:dyDescent="0.35">
      <c r="A83" s="10">
        <v>46024</v>
      </c>
      <c r="B83" s="1" t="s">
        <v>112</v>
      </c>
      <c r="C83" s="1" t="s">
        <v>24</v>
      </c>
      <c r="D83" s="1">
        <v>0</v>
      </c>
      <c r="E83" s="1">
        <v>0.2</v>
      </c>
      <c r="F83" s="1">
        <v>38.4</v>
      </c>
    </row>
    <row r="84" spans="1:6" x14ac:dyDescent="0.35">
      <c r="A84" s="10">
        <v>46024</v>
      </c>
      <c r="B84" s="1" t="s">
        <v>60</v>
      </c>
      <c r="C84" s="1" t="s">
        <v>17</v>
      </c>
      <c r="D84" s="1">
        <v>2</v>
      </c>
      <c r="E84" s="1">
        <v>0</v>
      </c>
      <c r="F84" s="1">
        <v>4</v>
      </c>
    </row>
    <row r="85" spans="1:6" x14ac:dyDescent="0.35">
      <c r="A85" s="10">
        <v>46024</v>
      </c>
      <c r="B85" s="1" t="s">
        <v>107</v>
      </c>
      <c r="C85" s="1" t="s">
        <v>108</v>
      </c>
      <c r="D85" s="1">
        <v>0</v>
      </c>
      <c r="E85" s="1">
        <v>500</v>
      </c>
      <c r="F85" s="1">
        <v>7200</v>
      </c>
    </row>
    <row r="86" spans="1:6" x14ac:dyDescent="0.35">
      <c r="A86" s="10">
        <v>46024</v>
      </c>
      <c r="B86" s="1" t="s">
        <v>109</v>
      </c>
      <c r="C86" s="1" t="s">
        <v>22</v>
      </c>
      <c r="D86" s="1">
        <v>0</v>
      </c>
      <c r="E86" s="1">
        <v>3</v>
      </c>
      <c r="F86" s="1">
        <v>23</v>
      </c>
    </row>
    <row r="87" spans="1:6" x14ac:dyDescent="0.35">
      <c r="A87" s="10">
        <v>46024</v>
      </c>
      <c r="B87" s="1" t="s">
        <v>110</v>
      </c>
      <c r="C87" s="1" t="s">
        <v>24</v>
      </c>
      <c r="D87" s="1">
        <v>0</v>
      </c>
      <c r="E87" s="1">
        <v>1</v>
      </c>
      <c r="F87" s="1">
        <v>176.5</v>
      </c>
    </row>
    <row r="88" spans="1:6" x14ac:dyDescent="0.35">
      <c r="A88" s="10">
        <v>46024</v>
      </c>
      <c r="B88" s="1" t="s">
        <v>111</v>
      </c>
      <c r="C88" s="1" t="s">
        <v>22</v>
      </c>
      <c r="D88" s="1">
        <v>0</v>
      </c>
      <c r="E88" s="1">
        <v>0.1</v>
      </c>
      <c r="F88" s="1">
        <v>99.100000000000009</v>
      </c>
    </row>
    <row r="89" spans="1:6" x14ac:dyDescent="0.35">
      <c r="A89" s="10">
        <v>46024</v>
      </c>
      <c r="B89" s="1" t="s">
        <v>112</v>
      </c>
      <c r="C89" s="1" t="s">
        <v>24</v>
      </c>
      <c r="D89" s="1">
        <v>0</v>
      </c>
      <c r="E89" s="1">
        <v>0.2</v>
      </c>
      <c r="F89" s="1">
        <v>38.199999999999996</v>
      </c>
    </row>
    <row r="90" spans="1:6" x14ac:dyDescent="0.35">
      <c r="A90" s="10">
        <v>46024</v>
      </c>
      <c r="B90" s="1" t="s">
        <v>6</v>
      </c>
      <c r="C90" s="1" t="s">
        <v>17</v>
      </c>
      <c r="D90" s="1">
        <v>2</v>
      </c>
      <c r="E90" s="1">
        <v>0</v>
      </c>
      <c r="F90" s="1">
        <v>2</v>
      </c>
    </row>
    <row r="91" spans="1:6" x14ac:dyDescent="0.35">
      <c r="A91" s="10">
        <v>46024</v>
      </c>
      <c r="B91" s="1" t="s">
        <v>107</v>
      </c>
      <c r="C91" s="1" t="s">
        <v>108</v>
      </c>
      <c r="D91" s="1">
        <v>0</v>
      </c>
      <c r="E91" s="1">
        <v>150</v>
      </c>
      <c r="F91" s="1">
        <v>7050</v>
      </c>
    </row>
    <row r="92" spans="1:6" x14ac:dyDescent="0.35">
      <c r="A92" s="10">
        <v>46024</v>
      </c>
      <c r="B92" s="1" t="s">
        <v>109</v>
      </c>
      <c r="C92" s="1" t="s">
        <v>22</v>
      </c>
      <c r="D92" s="1">
        <v>0</v>
      </c>
      <c r="E92" s="1">
        <v>2</v>
      </c>
      <c r="F92" s="1">
        <v>21</v>
      </c>
    </row>
    <row r="93" spans="1:6" x14ac:dyDescent="0.35">
      <c r="A93" s="10">
        <v>46024</v>
      </c>
      <c r="B93" s="1" t="s">
        <v>110</v>
      </c>
      <c r="C93" s="1" t="s">
        <v>24</v>
      </c>
      <c r="D93" s="1">
        <v>0</v>
      </c>
      <c r="E93" s="1">
        <v>3</v>
      </c>
      <c r="F93" s="1">
        <v>173.5</v>
      </c>
    </row>
    <row r="94" spans="1:6" x14ac:dyDescent="0.35">
      <c r="A94" s="10">
        <v>46024</v>
      </c>
      <c r="B94" s="1" t="s">
        <v>111</v>
      </c>
      <c r="C94" s="1" t="s">
        <v>22</v>
      </c>
      <c r="D94" s="1">
        <v>0</v>
      </c>
      <c r="E94" s="1">
        <v>0</v>
      </c>
      <c r="F94" s="1">
        <v>99.1</v>
      </c>
    </row>
    <row r="95" spans="1:6" x14ac:dyDescent="0.35">
      <c r="A95" s="10">
        <v>46024</v>
      </c>
      <c r="B95" s="1" t="s">
        <v>112</v>
      </c>
      <c r="C95" s="1" t="s">
        <v>24</v>
      </c>
      <c r="D95" s="1">
        <v>0</v>
      </c>
      <c r="E95" s="1">
        <v>1</v>
      </c>
      <c r="F95" s="1">
        <v>37.200000000000003</v>
      </c>
    </row>
    <row r="96" spans="1:6" x14ac:dyDescent="0.35">
      <c r="A96" s="10">
        <v>46024</v>
      </c>
      <c r="B96" s="1" t="s">
        <v>62</v>
      </c>
      <c r="C96" s="1" t="s">
        <v>17</v>
      </c>
      <c r="D96" s="1">
        <v>10</v>
      </c>
      <c r="E96" s="1">
        <v>0</v>
      </c>
      <c r="F96" s="1">
        <v>10</v>
      </c>
    </row>
    <row r="97" spans="1:6" x14ac:dyDescent="0.35">
      <c r="A97" s="10">
        <v>46025</v>
      </c>
      <c r="B97" s="1" t="s">
        <v>107</v>
      </c>
      <c r="C97" s="1" t="s">
        <v>108</v>
      </c>
      <c r="D97" s="1">
        <v>0</v>
      </c>
      <c r="E97" s="1">
        <v>3600</v>
      </c>
      <c r="F97" s="1">
        <v>3450</v>
      </c>
    </row>
    <row r="98" spans="1:6" x14ac:dyDescent="0.35">
      <c r="A98" s="10">
        <v>46025</v>
      </c>
      <c r="B98" s="1" t="s">
        <v>109</v>
      </c>
      <c r="C98" s="1" t="s">
        <v>22</v>
      </c>
      <c r="D98" s="1">
        <v>0</v>
      </c>
      <c r="E98" s="1">
        <v>30</v>
      </c>
      <c r="F98" s="1">
        <v>-9</v>
      </c>
    </row>
    <row r="99" spans="1:6" x14ac:dyDescent="0.35">
      <c r="A99" s="10">
        <v>46025</v>
      </c>
      <c r="B99" s="1" t="s">
        <v>110</v>
      </c>
      <c r="C99" s="1" t="s">
        <v>24</v>
      </c>
      <c r="D99" s="1">
        <v>0</v>
      </c>
      <c r="E99" s="1">
        <v>5</v>
      </c>
      <c r="F99" s="1">
        <v>168.5</v>
      </c>
    </row>
    <row r="100" spans="1:6" x14ac:dyDescent="0.35">
      <c r="A100" s="10">
        <v>46025</v>
      </c>
      <c r="B100" s="1" t="s">
        <v>111</v>
      </c>
      <c r="C100" s="1" t="s">
        <v>22</v>
      </c>
      <c r="D100" s="1">
        <v>0</v>
      </c>
      <c r="E100" s="1">
        <v>1</v>
      </c>
      <c r="F100" s="1">
        <v>98.1</v>
      </c>
    </row>
    <row r="101" spans="1:6" x14ac:dyDescent="0.35">
      <c r="A101" s="10">
        <v>46025</v>
      </c>
      <c r="B101" s="1" t="s">
        <v>112</v>
      </c>
      <c r="C101" s="1" t="s">
        <v>24</v>
      </c>
      <c r="D101" s="1">
        <v>0</v>
      </c>
      <c r="E101" s="1">
        <v>2</v>
      </c>
      <c r="F101" s="1">
        <v>35.200000000000003</v>
      </c>
    </row>
    <row r="102" spans="1:6" x14ac:dyDescent="0.35">
      <c r="A102" s="10">
        <v>46025</v>
      </c>
      <c r="B102" s="1" t="s">
        <v>59</v>
      </c>
      <c r="C102" s="1" t="s">
        <v>17</v>
      </c>
      <c r="D102" s="1">
        <v>20</v>
      </c>
      <c r="E102" s="1">
        <v>0</v>
      </c>
      <c r="F102" s="1">
        <v>42</v>
      </c>
    </row>
    <row r="103" spans="1:6" x14ac:dyDescent="0.35">
      <c r="A103" s="10">
        <v>46025</v>
      </c>
      <c r="B103" s="1" t="s">
        <v>107</v>
      </c>
      <c r="C103" s="1" t="s">
        <v>108</v>
      </c>
      <c r="D103" s="1">
        <v>0</v>
      </c>
      <c r="E103" s="1">
        <v>300</v>
      </c>
      <c r="F103" s="1">
        <v>3150</v>
      </c>
    </row>
    <row r="104" spans="1:6" x14ac:dyDescent="0.35">
      <c r="A104" s="10">
        <v>46025</v>
      </c>
      <c r="B104" s="1" t="s">
        <v>109</v>
      </c>
      <c r="C104" s="1" t="s">
        <v>22</v>
      </c>
      <c r="D104" s="1">
        <v>0</v>
      </c>
      <c r="E104" s="1">
        <v>5</v>
      </c>
      <c r="F104" s="1">
        <v>-14</v>
      </c>
    </row>
    <row r="105" spans="1:6" x14ac:dyDescent="0.35">
      <c r="A105" s="10">
        <v>46025</v>
      </c>
      <c r="B105" s="1" t="s">
        <v>110</v>
      </c>
      <c r="C105" s="1" t="s">
        <v>24</v>
      </c>
      <c r="D105" s="1">
        <v>0</v>
      </c>
      <c r="E105" s="1">
        <v>5</v>
      </c>
      <c r="F105" s="1">
        <v>163.5</v>
      </c>
    </row>
    <row r="106" spans="1:6" x14ac:dyDescent="0.35">
      <c r="A106" s="10">
        <v>46025</v>
      </c>
      <c r="B106" s="1" t="s">
        <v>111</v>
      </c>
      <c r="C106" s="1" t="s">
        <v>22</v>
      </c>
      <c r="D106" s="1">
        <v>0</v>
      </c>
      <c r="E106" s="1">
        <v>0</v>
      </c>
      <c r="F106" s="1">
        <v>98.1</v>
      </c>
    </row>
    <row r="107" spans="1:6" x14ac:dyDescent="0.35">
      <c r="A107" s="10">
        <v>46025</v>
      </c>
      <c r="B107" s="1" t="s">
        <v>112</v>
      </c>
      <c r="C107" s="1" t="s">
        <v>24</v>
      </c>
      <c r="D107" s="1">
        <v>0</v>
      </c>
      <c r="E107" s="1">
        <v>1</v>
      </c>
      <c r="F107" s="1">
        <v>34.200000000000003</v>
      </c>
    </row>
    <row r="108" spans="1:6" x14ac:dyDescent="0.35">
      <c r="A108" s="10">
        <v>46025</v>
      </c>
      <c r="B108" s="1" t="s">
        <v>63</v>
      </c>
      <c r="C108" s="1" t="s">
        <v>17</v>
      </c>
      <c r="D108" s="1">
        <v>10</v>
      </c>
      <c r="E108" s="1">
        <v>0</v>
      </c>
      <c r="F108" s="1">
        <v>10</v>
      </c>
    </row>
    <row r="109" spans="1:6" x14ac:dyDescent="0.35">
      <c r="A109" s="10">
        <v>46025</v>
      </c>
      <c r="B109" s="1" t="s">
        <v>12</v>
      </c>
      <c r="C109" s="1" t="s">
        <v>17</v>
      </c>
      <c r="D109" s="1">
        <v>4</v>
      </c>
      <c r="E109" s="1">
        <v>0</v>
      </c>
      <c r="F109" s="1">
        <v>4</v>
      </c>
    </row>
    <row r="110" spans="1:6" x14ac:dyDescent="0.35">
      <c r="A110" s="10">
        <v>46027</v>
      </c>
      <c r="B110" s="1" t="s">
        <v>57</v>
      </c>
      <c r="C110" s="1" t="s">
        <v>17</v>
      </c>
      <c r="D110" s="1">
        <v>0</v>
      </c>
      <c r="E110" s="1">
        <v>1</v>
      </c>
      <c r="F110" s="1">
        <v>1</v>
      </c>
    </row>
    <row r="111" spans="1:6" x14ac:dyDescent="0.35">
      <c r="A111" s="10">
        <v>46027</v>
      </c>
      <c r="B111" s="1" t="s">
        <v>106</v>
      </c>
      <c r="C111" s="1" t="s">
        <v>19</v>
      </c>
      <c r="D111" s="1">
        <v>0</v>
      </c>
      <c r="E111" s="1">
        <v>18</v>
      </c>
      <c r="F111" s="1">
        <v>-18</v>
      </c>
    </row>
    <row r="112" spans="1:6" x14ac:dyDescent="0.35">
      <c r="A112" s="10">
        <v>46027</v>
      </c>
      <c r="B112" s="1" t="s">
        <v>21</v>
      </c>
      <c r="C112" s="1" t="s">
        <v>22</v>
      </c>
      <c r="D112" s="1">
        <v>0</v>
      </c>
      <c r="E112" s="1">
        <v>5.25</v>
      </c>
      <c r="F112" s="1">
        <v>494.75</v>
      </c>
    </row>
    <row r="113" spans="1:6" x14ac:dyDescent="0.35">
      <c r="A113" s="10">
        <v>46027</v>
      </c>
      <c r="B113" s="1" t="s">
        <v>23</v>
      </c>
      <c r="C113" s="1" t="s">
        <v>24</v>
      </c>
      <c r="D113" s="1">
        <v>0</v>
      </c>
      <c r="E113" s="1">
        <v>6</v>
      </c>
      <c r="F113" s="1">
        <v>94</v>
      </c>
    </row>
    <row r="114" spans="1:6" x14ac:dyDescent="0.35">
      <c r="A114" s="10">
        <v>46027</v>
      </c>
      <c r="B114" s="1" t="s">
        <v>25</v>
      </c>
      <c r="C114" s="1" t="s">
        <v>17</v>
      </c>
      <c r="D114" s="1">
        <v>0</v>
      </c>
      <c r="E114" s="1">
        <v>1</v>
      </c>
      <c r="F114" s="1">
        <v>89</v>
      </c>
    </row>
    <row r="115" spans="1:6" x14ac:dyDescent="0.35">
      <c r="A115" s="10">
        <v>46027</v>
      </c>
      <c r="B115" s="1" t="s">
        <v>26</v>
      </c>
      <c r="C115" s="1" t="s">
        <v>17</v>
      </c>
      <c r="D115" s="1">
        <v>0</v>
      </c>
      <c r="E115" s="1">
        <v>0</v>
      </c>
      <c r="F115" s="1">
        <v>20</v>
      </c>
    </row>
    <row r="116" spans="1:6" x14ac:dyDescent="0.35">
      <c r="A116" s="10">
        <v>46027</v>
      </c>
      <c r="B116" s="1" t="s">
        <v>27</v>
      </c>
      <c r="C116" s="1" t="s">
        <v>19</v>
      </c>
      <c r="D116" s="1">
        <v>0</v>
      </c>
      <c r="E116" s="1">
        <v>2.5</v>
      </c>
      <c r="F116" s="1">
        <v>297.5</v>
      </c>
    </row>
    <row r="117" spans="1:6" x14ac:dyDescent="0.35">
      <c r="A117" s="10">
        <v>46027</v>
      </c>
      <c r="B117" s="1" t="s">
        <v>28</v>
      </c>
      <c r="C117" s="1" t="s">
        <v>29</v>
      </c>
      <c r="D117" s="1">
        <v>0</v>
      </c>
      <c r="E117" s="1">
        <v>0.2</v>
      </c>
      <c r="F117" s="1">
        <v>99.8</v>
      </c>
    </row>
    <row r="118" spans="1:6" x14ac:dyDescent="0.35">
      <c r="A118" s="10">
        <v>46027</v>
      </c>
      <c r="B118" s="1" t="s">
        <v>30</v>
      </c>
      <c r="C118" s="1" t="s">
        <v>17</v>
      </c>
      <c r="D118" s="1">
        <v>0</v>
      </c>
      <c r="E118" s="1">
        <v>25</v>
      </c>
      <c r="F118" s="1">
        <v>475</v>
      </c>
    </row>
    <row r="119" spans="1:6" x14ac:dyDescent="0.35">
      <c r="A119" s="10">
        <v>46027</v>
      </c>
      <c r="B119" s="1" t="s">
        <v>31</v>
      </c>
      <c r="C119" s="1" t="s">
        <v>17</v>
      </c>
      <c r="D119" s="1">
        <v>0</v>
      </c>
      <c r="E119" s="1">
        <v>25</v>
      </c>
      <c r="F119" s="1">
        <v>375</v>
      </c>
    </row>
    <row r="120" spans="1:6" x14ac:dyDescent="0.35">
      <c r="A120" s="10">
        <v>46027</v>
      </c>
      <c r="B120" s="1" t="s">
        <v>32</v>
      </c>
      <c r="C120" s="1" t="s">
        <v>17</v>
      </c>
      <c r="D120" s="1">
        <v>0</v>
      </c>
      <c r="E120" s="1">
        <v>12</v>
      </c>
      <c r="F120" s="1">
        <v>488</v>
      </c>
    </row>
    <row r="121" spans="1:6" x14ac:dyDescent="0.35">
      <c r="A121" s="10">
        <v>46027</v>
      </c>
      <c r="B121" s="1" t="s">
        <v>33</v>
      </c>
      <c r="C121" s="1" t="s">
        <v>22</v>
      </c>
      <c r="D121" s="1">
        <v>0</v>
      </c>
      <c r="E121" s="1">
        <v>0.15</v>
      </c>
      <c r="F121" s="1">
        <v>199.85</v>
      </c>
    </row>
    <row r="122" spans="1:6" x14ac:dyDescent="0.35">
      <c r="A122" s="10">
        <v>46027</v>
      </c>
      <c r="B122" s="1" t="s">
        <v>34</v>
      </c>
      <c r="C122" s="1" t="s">
        <v>24</v>
      </c>
      <c r="D122" s="1">
        <v>0</v>
      </c>
      <c r="E122" s="1">
        <v>2</v>
      </c>
      <c r="F122" s="1">
        <v>298</v>
      </c>
    </row>
    <row r="123" spans="1:6" x14ac:dyDescent="0.35">
      <c r="A123" s="10">
        <v>46027</v>
      </c>
      <c r="B123" s="1" t="s">
        <v>35</v>
      </c>
      <c r="C123" s="1" t="s">
        <v>36</v>
      </c>
      <c r="D123" s="1">
        <v>0</v>
      </c>
      <c r="E123" s="1">
        <v>0</v>
      </c>
      <c r="F123" s="1">
        <v>500</v>
      </c>
    </row>
    <row r="124" spans="1:6" x14ac:dyDescent="0.35">
      <c r="A124" s="10">
        <v>46027</v>
      </c>
      <c r="B124" s="1" t="s">
        <v>37</v>
      </c>
      <c r="C124" s="1" t="s">
        <v>22</v>
      </c>
      <c r="D124" s="1">
        <v>0</v>
      </c>
      <c r="E124" s="1">
        <v>1</v>
      </c>
      <c r="F124" s="1">
        <v>49</v>
      </c>
    </row>
    <row r="125" spans="1:6" x14ac:dyDescent="0.35">
      <c r="A125" s="10">
        <v>46027</v>
      </c>
      <c r="B125" s="1" t="s">
        <v>38</v>
      </c>
      <c r="C125" s="1" t="s">
        <v>29</v>
      </c>
      <c r="D125" s="1">
        <v>0</v>
      </c>
      <c r="E125" s="1">
        <v>1.6</v>
      </c>
      <c r="F125" s="1">
        <v>298.39999999999998</v>
      </c>
    </row>
    <row r="126" spans="1:6" x14ac:dyDescent="0.35">
      <c r="A126" s="10">
        <v>46027</v>
      </c>
      <c r="B126" s="1" t="s">
        <v>39</v>
      </c>
      <c r="C126" s="1" t="s">
        <v>29</v>
      </c>
      <c r="D126" s="1">
        <v>0</v>
      </c>
      <c r="E126" s="1">
        <v>0</v>
      </c>
      <c r="F126" s="1">
        <v>300</v>
      </c>
    </row>
    <row r="127" spans="1:6" x14ac:dyDescent="0.35">
      <c r="A127" s="10">
        <v>46027</v>
      </c>
      <c r="B127" s="1" t="s">
        <v>40</v>
      </c>
      <c r="C127" s="1" t="s">
        <v>22</v>
      </c>
      <c r="D127" s="1">
        <v>0</v>
      </c>
      <c r="E127" s="1">
        <v>1.5</v>
      </c>
      <c r="F127" s="1">
        <v>198.5</v>
      </c>
    </row>
    <row r="128" spans="1:6" x14ac:dyDescent="0.35">
      <c r="A128" s="10">
        <v>46027</v>
      </c>
      <c r="B128" s="1" t="s">
        <v>41</v>
      </c>
      <c r="C128" s="1" t="s">
        <v>29</v>
      </c>
      <c r="D128" s="1">
        <v>0</v>
      </c>
      <c r="E128" s="1">
        <v>0</v>
      </c>
      <c r="F128" s="1">
        <v>500</v>
      </c>
    </row>
    <row r="129" spans="1:6" x14ac:dyDescent="0.35">
      <c r="A129" s="10">
        <v>46027</v>
      </c>
      <c r="B129" s="1" t="s">
        <v>42</v>
      </c>
      <c r="C129" s="1" t="s">
        <v>43</v>
      </c>
      <c r="D129" s="1">
        <v>0</v>
      </c>
      <c r="E129" s="1">
        <v>0</v>
      </c>
      <c r="F129" s="1">
        <v>500</v>
      </c>
    </row>
    <row r="130" spans="1:6" x14ac:dyDescent="0.35">
      <c r="A130" s="10">
        <v>46027</v>
      </c>
      <c r="B130" s="1" t="s">
        <v>44</v>
      </c>
      <c r="C130" s="1" t="s">
        <v>45</v>
      </c>
      <c r="D130" s="1">
        <v>0</v>
      </c>
      <c r="E130" s="1">
        <v>1.5</v>
      </c>
      <c r="F130" s="1">
        <v>398.5</v>
      </c>
    </row>
    <row r="131" spans="1:6" x14ac:dyDescent="0.35">
      <c r="A131" s="10">
        <v>46027</v>
      </c>
      <c r="B131" s="1" t="s">
        <v>46</v>
      </c>
      <c r="C131" s="1" t="s">
        <v>17</v>
      </c>
      <c r="D131" s="1">
        <v>0</v>
      </c>
      <c r="E131" s="1">
        <v>14</v>
      </c>
      <c r="F131" s="1">
        <v>-14</v>
      </c>
    </row>
    <row r="132" spans="1:6" x14ac:dyDescent="0.35">
      <c r="A132" s="10">
        <v>46027</v>
      </c>
      <c r="B132" s="1" t="s">
        <v>47</v>
      </c>
      <c r="C132" s="1" t="s">
        <v>19</v>
      </c>
      <c r="D132" s="1">
        <v>0</v>
      </c>
      <c r="E132" s="1">
        <v>5</v>
      </c>
      <c r="F132" s="1">
        <v>495</v>
      </c>
    </row>
    <row r="133" spans="1:6" x14ac:dyDescent="0.35">
      <c r="A133" s="10">
        <v>46027</v>
      </c>
      <c r="B133" s="1" t="s">
        <v>48</v>
      </c>
      <c r="C133" s="1" t="s">
        <v>24</v>
      </c>
      <c r="D133" s="1">
        <v>0</v>
      </c>
      <c r="E133" s="1">
        <v>0</v>
      </c>
      <c r="F133" s="1">
        <v>1000</v>
      </c>
    </row>
    <row r="134" spans="1:6" x14ac:dyDescent="0.35">
      <c r="A134" s="10">
        <v>46027</v>
      </c>
      <c r="B134" s="1" t="s">
        <v>49</v>
      </c>
      <c r="C134" s="1" t="s">
        <v>24</v>
      </c>
      <c r="D134" s="1">
        <v>0</v>
      </c>
      <c r="E134" s="1">
        <v>0</v>
      </c>
      <c r="F134" s="1">
        <v>5000</v>
      </c>
    </row>
    <row r="135" spans="1:6" x14ac:dyDescent="0.35">
      <c r="A135" s="10">
        <v>46027</v>
      </c>
      <c r="B135" s="1" t="s">
        <v>50</v>
      </c>
      <c r="C135" s="1" t="s">
        <v>19</v>
      </c>
      <c r="D135" s="1">
        <v>0</v>
      </c>
      <c r="E135" s="1">
        <v>0</v>
      </c>
      <c r="F135" s="1">
        <v>500</v>
      </c>
    </row>
    <row r="136" spans="1:6" x14ac:dyDescent="0.35">
      <c r="A136" s="10">
        <v>46027</v>
      </c>
      <c r="B136" s="1" t="s">
        <v>51</v>
      </c>
      <c r="C136" s="1" t="s">
        <v>22</v>
      </c>
      <c r="D136" s="1">
        <v>0</v>
      </c>
      <c r="E136" s="1">
        <v>1</v>
      </c>
      <c r="F136" s="1">
        <v>399</v>
      </c>
    </row>
    <row r="137" spans="1:6" x14ac:dyDescent="0.35">
      <c r="A137" s="10">
        <v>46027</v>
      </c>
      <c r="B137" s="1" t="s">
        <v>52</v>
      </c>
      <c r="C137" s="1" t="s">
        <v>53</v>
      </c>
      <c r="D137" s="1">
        <v>0</v>
      </c>
      <c r="E137" s="1">
        <v>0.5</v>
      </c>
      <c r="F137" s="11">
        <v>49.5</v>
      </c>
    </row>
    <row r="138" spans="1:6" x14ac:dyDescent="0.35">
      <c r="A138" s="10">
        <v>46027</v>
      </c>
      <c r="B138" s="1" t="s">
        <v>54</v>
      </c>
      <c r="C138" s="1" t="s">
        <v>29</v>
      </c>
      <c r="D138" s="1">
        <v>0</v>
      </c>
      <c r="E138" s="1">
        <v>0.2</v>
      </c>
      <c r="F138" s="1">
        <v>189.8</v>
      </c>
    </row>
    <row r="139" spans="1:6" x14ac:dyDescent="0.35">
      <c r="A139" s="10">
        <v>46027</v>
      </c>
      <c r="B139" s="1" t="s">
        <v>9</v>
      </c>
      <c r="C139" s="1" t="s">
        <v>17</v>
      </c>
      <c r="D139" s="1">
        <v>0</v>
      </c>
      <c r="E139" s="1">
        <v>1</v>
      </c>
      <c r="F139" s="1">
        <v>1</v>
      </c>
    </row>
    <row r="140" spans="1:6" x14ac:dyDescent="0.35">
      <c r="A140" s="10">
        <v>46027</v>
      </c>
      <c r="B140" s="1" t="s">
        <v>106</v>
      </c>
      <c r="C140" s="1" t="s">
        <v>19</v>
      </c>
      <c r="D140" s="1">
        <v>0</v>
      </c>
      <c r="E140" s="1">
        <v>16</v>
      </c>
      <c r="F140" s="1">
        <v>-34</v>
      </c>
    </row>
    <row r="141" spans="1:6" x14ac:dyDescent="0.35">
      <c r="A141" s="10">
        <v>46027</v>
      </c>
      <c r="B141" s="1" t="s">
        <v>21</v>
      </c>
      <c r="C141" s="1" t="s">
        <v>22</v>
      </c>
      <c r="D141" s="1">
        <v>0</v>
      </c>
      <c r="E141" s="1">
        <v>5</v>
      </c>
      <c r="F141" s="1">
        <v>489.75</v>
      </c>
    </row>
    <row r="142" spans="1:6" x14ac:dyDescent="0.35">
      <c r="A142" s="10">
        <v>46027</v>
      </c>
      <c r="B142" s="1" t="s">
        <v>23</v>
      </c>
      <c r="C142" s="1" t="s">
        <v>24</v>
      </c>
      <c r="D142" s="1">
        <v>0</v>
      </c>
      <c r="E142" s="1">
        <v>1</v>
      </c>
      <c r="F142" s="1">
        <v>93</v>
      </c>
    </row>
    <row r="143" spans="1:6" x14ac:dyDescent="0.35">
      <c r="A143" s="10">
        <v>46027</v>
      </c>
      <c r="B143" s="1" t="s">
        <v>25</v>
      </c>
      <c r="C143" s="1" t="s">
        <v>17</v>
      </c>
      <c r="D143" s="1">
        <v>0</v>
      </c>
      <c r="E143" s="1">
        <v>1</v>
      </c>
      <c r="F143" s="1">
        <v>88</v>
      </c>
    </row>
    <row r="144" spans="1:6" x14ac:dyDescent="0.35">
      <c r="A144" s="10">
        <v>46027</v>
      </c>
      <c r="B144" s="1" t="s">
        <v>26</v>
      </c>
      <c r="C144" s="1" t="s">
        <v>17</v>
      </c>
      <c r="D144" s="1">
        <v>0</v>
      </c>
      <c r="E144" s="1">
        <v>0</v>
      </c>
      <c r="F144" s="1">
        <v>20</v>
      </c>
    </row>
    <row r="145" spans="1:6" x14ac:dyDescent="0.35">
      <c r="A145" s="10">
        <v>46027</v>
      </c>
      <c r="B145" s="1" t="s">
        <v>27</v>
      </c>
      <c r="C145" s="1" t="s">
        <v>19</v>
      </c>
      <c r="D145" s="1">
        <v>0</v>
      </c>
      <c r="E145" s="1">
        <v>2</v>
      </c>
      <c r="F145" s="1">
        <v>295.5</v>
      </c>
    </row>
    <row r="146" spans="1:6" x14ac:dyDescent="0.35">
      <c r="A146" s="10">
        <v>46027</v>
      </c>
      <c r="B146" s="1" t="s">
        <v>28</v>
      </c>
      <c r="C146" s="1" t="s">
        <v>29</v>
      </c>
      <c r="D146" s="1">
        <v>0</v>
      </c>
      <c r="E146" s="1">
        <v>0.2</v>
      </c>
      <c r="F146" s="1">
        <v>99.6</v>
      </c>
    </row>
    <row r="147" spans="1:6" x14ac:dyDescent="0.35">
      <c r="A147" s="10">
        <v>46027</v>
      </c>
      <c r="B147" s="1" t="s">
        <v>30</v>
      </c>
      <c r="C147" s="1" t="s">
        <v>17</v>
      </c>
      <c r="D147" s="1">
        <v>0</v>
      </c>
      <c r="E147" s="1">
        <v>25</v>
      </c>
      <c r="F147" s="1">
        <v>450</v>
      </c>
    </row>
    <row r="148" spans="1:6" x14ac:dyDescent="0.35">
      <c r="A148" s="10">
        <v>46027</v>
      </c>
      <c r="B148" s="1" t="s">
        <v>31</v>
      </c>
      <c r="C148" s="1" t="s">
        <v>17</v>
      </c>
      <c r="D148" s="1">
        <v>0</v>
      </c>
      <c r="E148" s="1">
        <v>50</v>
      </c>
      <c r="F148" s="11">
        <v>325</v>
      </c>
    </row>
    <row r="149" spans="1:6" x14ac:dyDescent="0.35">
      <c r="A149" s="10">
        <v>46027</v>
      </c>
      <c r="B149" s="1" t="s">
        <v>32</v>
      </c>
      <c r="C149" s="1" t="s">
        <v>17</v>
      </c>
      <c r="D149" s="1">
        <v>0</v>
      </c>
      <c r="E149" s="1">
        <v>50</v>
      </c>
      <c r="F149" s="1">
        <v>438</v>
      </c>
    </row>
    <row r="150" spans="1:6" x14ac:dyDescent="0.35">
      <c r="A150" s="10">
        <v>46027</v>
      </c>
      <c r="B150" s="1" t="s">
        <v>33</v>
      </c>
      <c r="C150" s="1" t="s">
        <v>22</v>
      </c>
      <c r="D150" s="1">
        <v>0</v>
      </c>
      <c r="E150" s="1">
        <v>0.2</v>
      </c>
      <c r="F150" s="1">
        <v>199.65</v>
      </c>
    </row>
    <row r="151" spans="1:6" x14ac:dyDescent="0.35">
      <c r="A151" s="10">
        <v>46027</v>
      </c>
      <c r="B151" s="1" t="s">
        <v>34</v>
      </c>
      <c r="C151" s="1" t="s">
        <v>24</v>
      </c>
      <c r="D151" s="1">
        <v>0</v>
      </c>
      <c r="E151" s="1">
        <v>2</v>
      </c>
      <c r="F151" s="1">
        <v>296</v>
      </c>
    </row>
    <row r="152" spans="1:6" x14ac:dyDescent="0.35">
      <c r="A152" s="10">
        <v>46027</v>
      </c>
      <c r="B152" s="1" t="s">
        <v>35</v>
      </c>
      <c r="C152" s="1" t="s">
        <v>36</v>
      </c>
      <c r="D152" s="1">
        <v>0</v>
      </c>
      <c r="E152" s="1">
        <v>2</v>
      </c>
      <c r="F152" s="1">
        <v>498</v>
      </c>
    </row>
    <row r="153" spans="1:6" x14ac:dyDescent="0.35">
      <c r="A153" s="10">
        <v>46027</v>
      </c>
      <c r="B153" s="1" t="s">
        <v>37</v>
      </c>
      <c r="C153" s="1" t="s">
        <v>22</v>
      </c>
      <c r="D153" s="1">
        <v>0</v>
      </c>
      <c r="E153" s="1">
        <v>1</v>
      </c>
      <c r="F153" s="1">
        <v>48</v>
      </c>
    </row>
    <row r="154" spans="1:6" x14ac:dyDescent="0.35">
      <c r="A154" s="10">
        <v>46027</v>
      </c>
      <c r="B154" s="1" t="s">
        <v>38</v>
      </c>
      <c r="C154" s="1" t="s">
        <v>29</v>
      </c>
      <c r="D154" s="1">
        <v>0</v>
      </c>
      <c r="E154" s="1">
        <v>1.6</v>
      </c>
      <c r="F154" s="1">
        <v>296.79999999999995</v>
      </c>
    </row>
    <row r="155" spans="1:6" x14ac:dyDescent="0.35">
      <c r="A155" s="10">
        <v>46027</v>
      </c>
      <c r="B155" s="1" t="s">
        <v>39</v>
      </c>
      <c r="C155" s="1" t="s">
        <v>29</v>
      </c>
      <c r="D155" s="1">
        <v>0</v>
      </c>
      <c r="E155" s="1">
        <v>0</v>
      </c>
      <c r="F155" s="1">
        <v>300</v>
      </c>
    </row>
    <row r="156" spans="1:6" x14ac:dyDescent="0.35">
      <c r="A156" s="10">
        <v>46027</v>
      </c>
      <c r="B156" s="1" t="s">
        <v>40</v>
      </c>
      <c r="C156" s="1" t="s">
        <v>22</v>
      </c>
      <c r="D156" s="1">
        <v>0</v>
      </c>
      <c r="E156" s="1">
        <v>1.5</v>
      </c>
      <c r="F156" s="1">
        <v>197</v>
      </c>
    </row>
    <row r="157" spans="1:6" x14ac:dyDescent="0.35">
      <c r="A157" s="10">
        <v>46027</v>
      </c>
      <c r="B157" s="1" t="s">
        <v>41</v>
      </c>
      <c r="C157" s="1" t="s">
        <v>29</v>
      </c>
      <c r="D157" s="1">
        <v>0</v>
      </c>
      <c r="E157" s="1">
        <v>0</v>
      </c>
      <c r="F157" s="1">
        <v>500</v>
      </c>
    </row>
    <row r="158" spans="1:6" x14ac:dyDescent="0.35">
      <c r="A158" s="10">
        <v>46027</v>
      </c>
      <c r="B158" s="1" t="s">
        <v>42</v>
      </c>
      <c r="C158" s="1" t="s">
        <v>43</v>
      </c>
      <c r="D158" s="1">
        <v>0</v>
      </c>
      <c r="E158" s="1">
        <v>0</v>
      </c>
      <c r="F158" s="1">
        <v>500</v>
      </c>
    </row>
    <row r="159" spans="1:6" x14ac:dyDescent="0.35">
      <c r="A159" s="10">
        <v>46027</v>
      </c>
      <c r="B159" s="1" t="s">
        <v>44</v>
      </c>
      <c r="C159" s="1" t="s">
        <v>45</v>
      </c>
      <c r="D159" s="1">
        <v>0</v>
      </c>
      <c r="E159" s="1">
        <v>1.5</v>
      </c>
      <c r="F159" s="1">
        <v>397</v>
      </c>
    </row>
    <row r="160" spans="1:6" x14ac:dyDescent="0.35">
      <c r="A160" s="10">
        <v>46027</v>
      </c>
      <c r="B160" s="1" t="s">
        <v>46</v>
      </c>
      <c r="C160" s="1" t="s">
        <v>17</v>
      </c>
      <c r="D160" s="1">
        <v>0</v>
      </c>
      <c r="E160" s="1">
        <v>14</v>
      </c>
      <c r="F160" s="1">
        <v>-28</v>
      </c>
    </row>
    <row r="161" spans="1:6" x14ac:dyDescent="0.35">
      <c r="A161" s="10">
        <v>46027</v>
      </c>
      <c r="B161" s="1" t="s">
        <v>47</v>
      </c>
      <c r="C161" s="1" t="s">
        <v>19</v>
      </c>
      <c r="D161" s="1">
        <v>0</v>
      </c>
      <c r="E161" s="1">
        <v>5</v>
      </c>
      <c r="F161" s="1">
        <v>490</v>
      </c>
    </row>
    <row r="162" spans="1:6" x14ac:dyDescent="0.35">
      <c r="A162" s="10">
        <v>46027</v>
      </c>
      <c r="B162" s="1" t="s">
        <v>48</v>
      </c>
      <c r="C162" s="1" t="s">
        <v>24</v>
      </c>
      <c r="D162" s="1">
        <v>0</v>
      </c>
      <c r="E162" s="1">
        <v>0</v>
      </c>
      <c r="F162" s="1">
        <v>1000</v>
      </c>
    </row>
    <row r="163" spans="1:6" x14ac:dyDescent="0.35">
      <c r="A163" s="10">
        <v>46027</v>
      </c>
      <c r="B163" s="1" t="s">
        <v>49</v>
      </c>
      <c r="C163" s="1" t="s">
        <v>24</v>
      </c>
      <c r="D163" s="1">
        <v>0</v>
      </c>
      <c r="E163" s="1">
        <v>0</v>
      </c>
      <c r="F163" s="1">
        <v>5000</v>
      </c>
    </row>
    <row r="164" spans="1:6" x14ac:dyDescent="0.35">
      <c r="A164" s="10">
        <v>46027</v>
      </c>
      <c r="B164" s="1" t="s">
        <v>50</v>
      </c>
      <c r="C164" s="1" t="s">
        <v>19</v>
      </c>
      <c r="D164" s="1">
        <v>0</v>
      </c>
      <c r="E164" s="1">
        <v>0</v>
      </c>
      <c r="F164" s="1">
        <v>500</v>
      </c>
    </row>
    <row r="165" spans="1:6" x14ac:dyDescent="0.35">
      <c r="A165" s="10">
        <v>46027</v>
      </c>
      <c r="B165" s="1" t="s">
        <v>51</v>
      </c>
      <c r="C165" s="1" t="s">
        <v>22</v>
      </c>
      <c r="D165" s="1">
        <v>0</v>
      </c>
      <c r="E165" s="1">
        <v>0</v>
      </c>
      <c r="F165" s="1">
        <v>399</v>
      </c>
    </row>
    <row r="166" spans="1:6" x14ac:dyDescent="0.35">
      <c r="A166" s="10">
        <v>46027</v>
      </c>
      <c r="B166" s="1" t="s">
        <v>52</v>
      </c>
      <c r="C166" s="1" t="s">
        <v>53</v>
      </c>
      <c r="D166" s="1">
        <v>0</v>
      </c>
      <c r="E166" s="1">
        <v>0</v>
      </c>
      <c r="F166" s="1">
        <v>49.5</v>
      </c>
    </row>
    <row r="167" spans="1:6" x14ac:dyDescent="0.35">
      <c r="A167" s="10">
        <v>46027</v>
      </c>
      <c r="B167" s="1" t="s">
        <v>54</v>
      </c>
      <c r="C167" s="1" t="s">
        <v>29</v>
      </c>
      <c r="D167" s="1">
        <v>0</v>
      </c>
      <c r="E167" s="1">
        <v>0.2</v>
      </c>
      <c r="F167" s="1">
        <v>189.60000000000002</v>
      </c>
    </row>
    <row r="168" spans="1:6" x14ac:dyDescent="0.35">
      <c r="A168" s="10">
        <v>46027</v>
      </c>
      <c r="B168" s="1" t="s">
        <v>58</v>
      </c>
      <c r="C168" s="1" t="s">
        <v>17</v>
      </c>
      <c r="D168" s="1">
        <v>0</v>
      </c>
      <c r="E168" s="1">
        <v>1</v>
      </c>
      <c r="F168" s="1">
        <v>1</v>
      </c>
    </row>
    <row r="169" spans="1:6" x14ac:dyDescent="0.35">
      <c r="A169" s="10">
        <v>46027</v>
      </c>
      <c r="B169" s="1" t="s">
        <v>106</v>
      </c>
      <c r="C169" s="1" t="s">
        <v>19</v>
      </c>
      <c r="D169" s="1">
        <v>0</v>
      </c>
      <c r="E169" s="1">
        <v>17</v>
      </c>
      <c r="F169" s="1">
        <v>-51</v>
      </c>
    </row>
    <row r="170" spans="1:6" x14ac:dyDescent="0.35">
      <c r="A170" s="10">
        <v>46027</v>
      </c>
      <c r="B170" s="1" t="s">
        <v>21</v>
      </c>
      <c r="C170" s="1" t="s">
        <v>22</v>
      </c>
      <c r="D170" s="1">
        <v>0</v>
      </c>
      <c r="E170" s="1">
        <v>5</v>
      </c>
      <c r="F170" s="1">
        <v>484.75</v>
      </c>
    </row>
    <row r="171" spans="1:6" x14ac:dyDescent="0.35">
      <c r="A171" s="10">
        <v>46027</v>
      </c>
      <c r="B171" s="1" t="s">
        <v>23</v>
      </c>
      <c r="C171" s="1" t="s">
        <v>24</v>
      </c>
      <c r="D171" s="1">
        <v>0</v>
      </c>
      <c r="E171" s="1">
        <v>1</v>
      </c>
      <c r="F171" s="1">
        <v>92</v>
      </c>
    </row>
    <row r="172" spans="1:6" x14ac:dyDescent="0.35">
      <c r="A172" s="10">
        <v>46027</v>
      </c>
      <c r="B172" s="1" t="s">
        <v>25</v>
      </c>
      <c r="C172" s="1" t="s">
        <v>17</v>
      </c>
      <c r="D172" s="1">
        <v>0</v>
      </c>
      <c r="E172" s="1">
        <v>1</v>
      </c>
      <c r="F172" s="1">
        <v>87</v>
      </c>
    </row>
    <row r="173" spans="1:6" x14ac:dyDescent="0.35">
      <c r="A173" s="10">
        <v>46027</v>
      </c>
      <c r="B173" s="1" t="s">
        <v>26</v>
      </c>
      <c r="C173" s="1" t="s">
        <v>17</v>
      </c>
      <c r="D173" s="1">
        <v>0</v>
      </c>
      <c r="E173" s="1">
        <v>0</v>
      </c>
      <c r="F173" s="1">
        <v>20</v>
      </c>
    </row>
    <row r="174" spans="1:6" x14ac:dyDescent="0.35">
      <c r="A174" s="10">
        <v>46027</v>
      </c>
      <c r="B174" s="1" t="s">
        <v>27</v>
      </c>
      <c r="C174" s="1" t="s">
        <v>19</v>
      </c>
      <c r="D174" s="1">
        <v>0</v>
      </c>
      <c r="E174" s="1">
        <v>2</v>
      </c>
      <c r="F174" s="1">
        <v>293.5</v>
      </c>
    </row>
    <row r="175" spans="1:6" x14ac:dyDescent="0.35">
      <c r="A175" s="10">
        <v>46027</v>
      </c>
      <c r="B175" s="1" t="s">
        <v>28</v>
      </c>
      <c r="C175" s="1" t="s">
        <v>29</v>
      </c>
      <c r="D175" s="1">
        <v>0</v>
      </c>
      <c r="E175" s="1">
        <v>0.2</v>
      </c>
      <c r="F175" s="1">
        <v>99.399999999999991</v>
      </c>
    </row>
    <row r="176" spans="1:6" x14ac:dyDescent="0.35">
      <c r="A176" s="10">
        <v>46027</v>
      </c>
      <c r="B176" s="1" t="s">
        <v>30</v>
      </c>
      <c r="C176" s="1" t="s">
        <v>17</v>
      </c>
      <c r="D176" s="1">
        <v>0</v>
      </c>
      <c r="E176" s="1">
        <v>25</v>
      </c>
      <c r="F176" s="1">
        <v>425</v>
      </c>
    </row>
    <row r="177" spans="1:6" x14ac:dyDescent="0.35">
      <c r="A177" s="10">
        <v>46027</v>
      </c>
      <c r="B177" s="1" t="s">
        <v>31</v>
      </c>
      <c r="C177" s="1" t="s">
        <v>17</v>
      </c>
      <c r="D177" s="1">
        <v>0</v>
      </c>
      <c r="E177" s="1">
        <v>50</v>
      </c>
      <c r="F177" s="1">
        <v>275</v>
      </c>
    </row>
    <row r="178" spans="1:6" x14ac:dyDescent="0.35">
      <c r="A178" s="10">
        <v>46027</v>
      </c>
      <c r="B178" s="1" t="s">
        <v>32</v>
      </c>
      <c r="C178" s="1" t="s">
        <v>17</v>
      </c>
      <c r="D178" s="1">
        <v>0</v>
      </c>
      <c r="E178" s="1">
        <v>50</v>
      </c>
      <c r="F178" s="1">
        <v>388</v>
      </c>
    </row>
    <row r="179" spans="1:6" x14ac:dyDescent="0.35">
      <c r="A179" s="10">
        <v>46027</v>
      </c>
      <c r="B179" s="1" t="s">
        <v>33</v>
      </c>
      <c r="C179" s="1" t="s">
        <v>22</v>
      </c>
      <c r="D179" s="1">
        <v>0</v>
      </c>
      <c r="E179" s="1">
        <v>0.2</v>
      </c>
      <c r="F179" s="1">
        <v>199.45000000000002</v>
      </c>
    </row>
    <row r="180" spans="1:6" x14ac:dyDescent="0.35">
      <c r="A180" s="10">
        <v>46027</v>
      </c>
      <c r="B180" s="1" t="s">
        <v>34</v>
      </c>
      <c r="C180" s="1" t="s">
        <v>24</v>
      </c>
      <c r="D180" s="1">
        <v>0</v>
      </c>
      <c r="E180" s="1">
        <v>2</v>
      </c>
      <c r="F180" s="1">
        <v>294</v>
      </c>
    </row>
    <row r="181" spans="1:6" x14ac:dyDescent="0.35">
      <c r="A181" s="10">
        <v>46027</v>
      </c>
      <c r="B181" s="1" t="s">
        <v>35</v>
      </c>
      <c r="C181" s="1" t="s">
        <v>36</v>
      </c>
      <c r="D181" s="1">
        <v>0</v>
      </c>
      <c r="E181" s="1">
        <v>2</v>
      </c>
      <c r="F181" s="1">
        <v>496</v>
      </c>
    </row>
    <row r="182" spans="1:6" x14ac:dyDescent="0.35">
      <c r="A182" s="10">
        <v>46027</v>
      </c>
      <c r="B182" s="1" t="s">
        <v>37</v>
      </c>
      <c r="C182" s="1" t="s">
        <v>22</v>
      </c>
      <c r="D182" s="1">
        <v>0</v>
      </c>
      <c r="E182" s="1">
        <v>1</v>
      </c>
      <c r="F182" s="1">
        <v>47</v>
      </c>
    </row>
    <row r="183" spans="1:6" x14ac:dyDescent="0.35">
      <c r="A183" s="10">
        <v>46027</v>
      </c>
      <c r="B183" s="1" t="s">
        <v>38</v>
      </c>
      <c r="C183" s="1" t="s">
        <v>29</v>
      </c>
      <c r="D183" s="1">
        <v>0</v>
      </c>
      <c r="E183" s="1">
        <v>1.6</v>
      </c>
      <c r="F183" s="1">
        <v>295.2</v>
      </c>
    </row>
    <row r="184" spans="1:6" x14ac:dyDescent="0.35">
      <c r="A184" s="10">
        <v>46027</v>
      </c>
      <c r="B184" s="1" t="s">
        <v>39</v>
      </c>
      <c r="C184" s="1" t="s">
        <v>29</v>
      </c>
      <c r="D184" s="1">
        <v>0</v>
      </c>
      <c r="E184" s="1">
        <v>0</v>
      </c>
      <c r="F184" s="1">
        <v>300</v>
      </c>
    </row>
    <row r="185" spans="1:6" x14ac:dyDescent="0.35">
      <c r="A185" s="10">
        <v>46027</v>
      </c>
      <c r="B185" s="1" t="s">
        <v>40</v>
      </c>
      <c r="C185" s="1" t="s">
        <v>22</v>
      </c>
      <c r="D185" s="1">
        <v>0</v>
      </c>
      <c r="E185" s="1">
        <v>1.5</v>
      </c>
      <c r="F185" s="1">
        <v>195.5</v>
      </c>
    </row>
    <row r="186" spans="1:6" x14ac:dyDescent="0.35">
      <c r="A186" s="10">
        <v>46027</v>
      </c>
      <c r="B186" s="1" t="s">
        <v>41</v>
      </c>
      <c r="C186" s="1" t="s">
        <v>29</v>
      </c>
      <c r="D186" s="1">
        <v>0</v>
      </c>
      <c r="E186" s="1">
        <v>0</v>
      </c>
      <c r="F186" s="1">
        <v>500</v>
      </c>
    </row>
    <row r="187" spans="1:6" x14ac:dyDescent="0.35">
      <c r="A187" s="10">
        <v>46027</v>
      </c>
      <c r="B187" s="1" t="s">
        <v>42</v>
      </c>
      <c r="C187" s="1" t="s">
        <v>43</v>
      </c>
      <c r="D187" s="1">
        <v>0</v>
      </c>
      <c r="E187" s="1">
        <v>0</v>
      </c>
      <c r="F187" s="1">
        <v>500</v>
      </c>
    </row>
    <row r="188" spans="1:6" x14ac:dyDescent="0.35">
      <c r="A188" s="10">
        <v>46027</v>
      </c>
      <c r="B188" s="1" t="s">
        <v>44</v>
      </c>
      <c r="C188" s="1" t="s">
        <v>45</v>
      </c>
      <c r="D188" s="1">
        <v>0</v>
      </c>
      <c r="E188" s="1">
        <v>1.5</v>
      </c>
      <c r="F188" s="1">
        <v>395.5</v>
      </c>
    </row>
    <row r="189" spans="1:6" x14ac:dyDescent="0.35">
      <c r="A189" s="10">
        <v>46027</v>
      </c>
      <c r="B189" s="1" t="s">
        <v>46</v>
      </c>
      <c r="C189" s="1" t="s">
        <v>17</v>
      </c>
      <c r="D189" s="1">
        <v>0</v>
      </c>
      <c r="E189" s="1">
        <v>14</v>
      </c>
      <c r="F189" s="1">
        <v>-42</v>
      </c>
    </row>
    <row r="190" spans="1:6" x14ac:dyDescent="0.35">
      <c r="A190" s="10">
        <v>46027</v>
      </c>
      <c r="B190" s="1" t="s">
        <v>47</v>
      </c>
      <c r="C190" s="1" t="s">
        <v>19</v>
      </c>
      <c r="D190" s="1">
        <v>0</v>
      </c>
      <c r="E190" s="1">
        <v>5</v>
      </c>
      <c r="F190" s="1">
        <v>485</v>
      </c>
    </row>
    <row r="191" spans="1:6" x14ac:dyDescent="0.35">
      <c r="A191" s="10">
        <v>46027</v>
      </c>
      <c r="B191" s="1" t="s">
        <v>48</v>
      </c>
      <c r="C191" s="1" t="s">
        <v>24</v>
      </c>
      <c r="D191" s="1">
        <v>0</v>
      </c>
      <c r="E191" s="1">
        <v>0</v>
      </c>
      <c r="F191" s="1">
        <v>1000</v>
      </c>
    </row>
    <row r="192" spans="1:6" x14ac:dyDescent="0.35">
      <c r="A192" s="10">
        <v>46027</v>
      </c>
      <c r="B192" s="1" t="s">
        <v>49</v>
      </c>
      <c r="C192" s="1" t="s">
        <v>24</v>
      </c>
      <c r="D192" s="1">
        <v>0</v>
      </c>
      <c r="E192" s="1">
        <v>0</v>
      </c>
      <c r="F192" s="1">
        <v>5000</v>
      </c>
    </row>
    <row r="193" spans="1:6" x14ac:dyDescent="0.35">
      <c r="A193" s="3">
        <v>46027</v>
      </c>
      <c r="B193" s="1" t="s">
        <v>50</v>
      </c>
      <c r="C193" s="1" t="s">
        <v>19</v>
      </c>
      <c r="D193" s="1">
        <v>0</v>
      </c>
      <c r="E193" s="1">
        <v>0</v>
      </c>
      <c r="F193" s="1">
        <v>500</v>
      </c>
    </row>
    <row r="194" spans="1:6" x14ac:dyDescent="0.35">
      <c r="A194" s="3">
        <v>46027</v>
      </c>
      <c r="B194" s="1" t="s">
        <v>51</v>
      </c>
      <c r="C194" s="1" t="s">
        <v>22</v>
      </c>
      <c r="D194" s="1">
        <v>0</v>
      </c>
      <c r="E194" s="1">
        <v>0</v>
      </c>
      <c r="F194" s="1">
        <v>399</v>
      </c>
    </row>
    <row r="195" spans="1:6" x14ac:dyDescent="0.35">
      <c r="A195" s="10">
        <v>46027</v>
      </c>
      <c r="B195" s="1" t="s">
        <v>52</v>
      </c>
      <c r="C195" s="1" t="s">
        <v>53</v>
      </c>
      <c r="D195" s="1">
        <v>0</v>
      </c>
      <c r="E195" s="1">
        <v>0</v>
      </c>
      <c r="F195" s="1">
        <v>49.5</v>
      </c>
    </row>
    <row r="196" spans="1:6" x14ac:dyDescent="0.35">
      <c r="A196" s="10">
        <v>46027</v>
      </c>
      <c r="B196" s="1" t="s">
        <v>54</v>
      </c>
      <c r="C196" s="1" t="s">
        <v>29</v>
      </c>
      <c r="D196" s="1">
        <v>0</v>
      </c>
      <c r="E196" s="1">
        <v>0.2</v>
      </c>
      <c r="F196" s="1">
        <v>189.4</v>
      </c>
    </row>
    <row r="197" spans="1:6" x14ac:dyDescent="0.35">
      <c r="A197" s="10">
        <v>46027</v>
      </c>
      <c r="B197" s="1" t="s">
        <v>8</v>
      </c>
      <c r="C197" s="1" t="s">
        <v>17</v>
      </c>
      <c r="D197" s="1">
        <v>0</v>
      </c>
      <c r="E197" s="1">
        <v>1</v>
      </c>
      <c r="F197" s="1">
        <v>1</v>
      </c>
    </row>
    <row r="198" spans="1:6" x14ac:dyDescent="0.35">
      <c r="A198" s="10">
        <v>46027</v>
      </c>
      <c r="B198" s="1" t="s">
        <v>106</v>
      </c>
      <c r="C198" s="1" t="s">
        <v>19</v>
      </c>
      <c r="D198" s="1">
        <v>0</v>
      </c>
      <c r="E198" s="1">
        <v>16</v>
      </c>
      <c r="F198" s="1">
        <v>-67</v>
      </c>
    </row>
    <row r="199" spans="1:6" x14ac:dyDescent="0.35">
      <c r="A199" s="10">
        <v>46027</v>
      </c>
      <c r="B199" s="1" t="s">
        <v>21</v>
      </c>
      <c r="C199" s="1" t="s">
        <v>22</v>
      </c>
      <c r="D199" s="1">
        <v>0</v>
      </c>
      <c r="E199" s="1">
        <v>5</v>
      </c>
      <c r="F199" s="1">
        <v>479.75</v>
      </c>
    </row>
    <row r="200" spans="1:6" x14ac:dyDescent="0.35">
      <c r="A200" s="10">
        <v>46027</v>
      </c>
      <c r="B200" s="1" t="s">
        <v>23</v>
      </c>
      <c r="C200" s="1" t="s">
        <v>24</v>
      </c>
      <c r="D200" s="1">
        <v>0</v>
      </c>
      <c r="E200" s="1">
        <v>1</v>
      </c>
      <c r="F200" s="1">
        <v>91</v>
      </c>
    </row>
    <row r="201" spans="1:6" x14ac:dyDescent="0.35">
      <c r="A201" s="10">
        <v>46027</v>
      </c>
      <c r="B201" s="1" t="s">
        <v>25</v>
      </c>
      <c r="C201" s="1" t="s">
        <v>17</v>
      </c>
      <c r="D201" s="1">
        <v>0</v>
      </c>
      <c r="E201" s="1">
        <v>1</v>
      </c>
      <c r="F201" s="1">
        <v>86</v>
      </c>
    </row>
    <row r="202" spans="1:6" x14ac:dyDescent="0.35">
      <c r="A202" s="10">
        <v>46027</v>
      </c>
      <c r="B202" s="1" t="s">
        <v>26</v>
      </c>
      <c r="C202" s="1" t="s">
        <v>17</v>
      </c>
      <c r="D202" s="1">
        <v>0</v>
      </c>
      <c r="E202" s="1">
        <v>0</v>
      </c>
      <c r="F202" s="1">
        <v>20</v>
      </c>
    </row>
    <row r="203" spans="1:6" x14ac:dyDescent="0.35">
      <c r="A203" s="10">
        <v>46027</v>
      </c>
      <c r="B203" s="1" t="s">
        <v>27</v>
      </c>
      <c r="C203" s="1" t="s">
        <v>19</v>
      </c>
      <c r="D203" s="1">
        <v>0</v>
      </c>
      <c r="E203" s="1">
        <v>2</v>
      </c>
      <c r="F203" s="1">
        <v>291.5</v>
      </c>
    </row>
    <row r="204" spans="1:6" x14ac:dyDescent="0.35">
      <c r="A204" s="10">
        <v>46027</v>
      </c>
      <c r="B204" s="1" t="s">
        <v>28</v>
      </c>
      <c r="C204" s="1" t="s">
        <v>29</v>
      </c>
      <c r="D204" s="1">
        <v>0</v>
      </c>
      <c r="E204" s="1">
        <v>0.2</v>
      </c>
      <c r="F204" s="1">
        <v>99.2</v>
      </c>
    </row>
    <row r="205" spans="1:6" x14ac:dyDescent="0.35">
      <c r="A205" s="10">
        <v>46027</v>
      </c>
      <c r="B205" s="1" t="s">
        <v>30</v>
      </c>
      <c r="C205" s="1" t="s">
        <v>17</v>
      </c>
      <c r="D205" s="1">
        <v>0</v>
      </c>
      <c r="E205" s="1">
        <v>25</v>
      </c>
      <c r="F205" s="1">
        <v>400</v>
      </c>
    </row>
    <row r="206" spans="1:6" x14ac:dyDescent="0.35">
      <c r="A206" s="10">
        <v>46027</v>
      </c>
      <c r="B206" s="1" t="s">
        <v>31</v>
      </c>
      <c r="C206" s="1" t="s">
        <v>17</v>
      </c>
      <c r="D206" s="1">
        <v>0</v>
      </c>
      <c r="E206" s="1">
        <v>50</v>
      </c>
      <c r="F206" s="1">
        <v>225</v>
      </c>
    </row>
    <row r="207" spans="1:6" x14ac:dyDescent="0.35">
      <c r="A207" s="10">
        <v>46027</v>
      </c>
      <c r="B207" s="1" t="s">
        <v>32</v>
      </c>
      <c r="C207" s="1" t="s">
        <v>17</v>
      </c>
      <c r="D207" s="1">
        <v>0</v>
      </c>
      <c r="E207" s="1">
        <v>50</v>
      </c>
      <c r="F207" s="1">
        <v>338</v>
      </c>
    </row>
    <row r="208" spans="1:6" x14ac:dyDescent="0.35">
      <c r="A208" s="10">
        <v>46027</v>
      </c>
      <c r="B208" s="1" t="s">
        <v>33</v>
      </c>
      <c r="C208" s="1" t="s">
        <v>22</v>
      </c>
      <c r="D208" s="1">
        <v>0</v>
      </c>
      <c r="E208" s="1">
        <v>0.2</v>
      </c>
      <c r="F208" s="1">
        <v>199.25</v>
      </c>
    </row>
    <row r="209" spans="1:6" x14ac:dyDescent="0.35">
      <c r="A209" s="10">
        <v>46027</v>
      </c>
      <c r="B209" s="1" t="s">
        <v>34</v>
      </c>
      <c r="C209" s="1" t="s">
        <v>24</v>
      </c>
      <c r="D209" s="1">
        <v>0</v>
      </c>
      <c r="E209" s="1">
        <v>2</v>
      </c>
      <c r="F209" s="1">
        <v>292</v>
      </c>
    </row>
    <row r="210" spans="1:6" x14ac:dyDescent="0.35">
      <c r="A210" s="10">
        <v>46027</v>
      </c>
      <c r="B210" s="1" t="s">
        <v>35</v>
      </c>
      <c r="C210" s="1" t="s">
        <v>36</v>
      </c>
      <c r="D210" s="1">
        <v>0</v>
      </c>
      <c r="E210" s="1">
        <v>2</v>
      </c>
      <c r="F210" s="1">
        <v>494</v>
      </c>
    </row>
    <row r="211" spans="1:6" x14ac:dyDescent="0.35">
      <c r="A211" s="10">
        <v>46027</v>
      </c>
      <c r="B211" s="1" t="s">
        <v>37</v>
      </c>
      <c r="C211" s="1" t="s">
        <v>22</v>
      </c>
      <c r="D211" s="1">
        <v>0</v>
      </c>
      <c r="E211" s="1">
        <v>1</v>
      </c>
      <c r="F211" s="1">
        <v>46</v>
      </c>
    </row>
    <row r="212" spans="1:6" x14ac:dyDescent="0.35">
      <c r="A212" s="10">
        <v>46027</v>
      </c>
      <c r="B212" s="1" t="s">
        <v>38</v>
      </c>
      <c r="C212" s="1" t="s">
        <v>29</v>
      </c>
      <c r="D212" s="1">
        <v>0</v>
      </c>
      <c r="E212" s="1">
        <v>1.6</v>
      </c>
      <c r="F212" s="1">
        <v>293.59999999999997</v>
      </c>
    </row>
    <row r="213" spans="1:6" x14ac:dyDescent="0.35">
      <c r="A213" s="10">
        <v>46027</v>
      </c>
      <c r="B213" s="1" t="s">
        <v>39</v>
      </c>
      <c r="C213" s="1" t="s">
        <v>29</v>
      </c>
      <c r="D213" s="1">
        <v>0</v>
      </c>
      <c r="E213" s="1">
        <v>0</v>
      </c>
      <c r="F213" s="1">
        <v>300</v>
      </c>
    </row>
    <row r="214" spans="1:6" x14ac:dyDescent="0.35">
      <c r="A214" s="10">
        <v>46027</v>
      </c>
      <c r="B214" s="1" t="s">
        <v>40</v>
      </c>
      <c r="C214" s="1" t="s">
        <v>22</v>
      </c>
      <c r="D214" s="1">
        <v>0</v>
      </c>
      <c r="E214" s="1">
        <v>1.5</v>
      </c>
      <c r="F214" s="1">
        <v>194</v>
      </c>
    </row>
    <row r="215" spans="1:6" x14ac:dyDescent="0.35">
      <c r="A215" s="10">
        <v>46027</v>
      </c>
      <c r="B215" s="1" t="s">
        <v>41</v>
      </c>
      <c r="C215" s="1" t="s">
        <v>29</v>
      </c>
      <c r="D215" s="1">
        <v>0</v>
      </c>
      <c r="E215" s="1">
        <v>0</v>
      </c>
      <c r="F215" s="1">
        <v>500</v>
      </c>
    </row>
    <row r="216" spans="1:6" x14ac:dyDescent="0.35">
      <c r="A216" s="10">
        <v>46027</v>
      </c>
      <c r="B216" s="1" t="s">
        <v>42</v>
      </c>
      <c r="C216" s="1" t="s">
        <v>43</v>
      </c>
      <c r="D216" s="1">
        <v>0</v>
      </c>
      <c r="E216" s="1">
        <v>0</v>
      </c>
      <c r="F216" s="1">
        <v>500</v>
      </c>
    </row>
    <row r="217" spans="1:6" x14ac:dyDescent="0.35">
      <c r="A217" s="10">
        <v>46027</v>
      </c>
      <c r="B217" s="1" t="s">
        <v>44</v>
      </c>
      <c r="C217" s="1" t="s">
        <v>45</v>
      </c>
      <c r="D217" s="1">
        <v>0</v>
      </c>
      <c r="E217" s="1">
        <v>1.5</v>
      </c>
      <c r="F217" s="1">
        <v>394</v>
      </c>
    </row>
    <row r="218" spans="1:6" x14ac:dyDescent="0.35">
      <c r="A218" s="10">
        <v>46027</v>
      </c>
      <c r="B218" s="1" t="s">
        <v>46</v>
      </c>
      <c r="C218" s="1" t="s">
        <v>17</v>
      </c>
      <c r="D218" s="1">
        <v>0</v>
      </c>
      <c r="E218" s="1">
        <v>14</v>
      </c>
      <c r="F218" s="1">
        <v>-56</v>
      </c>
    </row>
    <row r="219" spans="1:6" x14ac:dyDescent="0.35">
      <c r="A219" s="10">
        <v>46027</v>
      </c>
      <c r="B219" s="1" t="s">
        <v>47</v>
      </c>
      <c r="C219" s="1" t="s">
        <v>19</v>
      </c>
      <c r="D219" s="1">
        <v>0</v>
      </c>
      <c r="E219" s="1">
        <v>5</v>
      </c>
      <c r="F219" s="1">
        <v>480</v>
      </c>
    </row>
    <row r="220" spans="1:6" x14ac:dyDescent="0.35">
      <c r="A220" s="10">
        <v>46027</v>
      </c>
      <c r="B220" s="1" t="s">
        <v>48</v>
      </c>
      <c r="C220" s="1" t="s">
        <v>24</v>
      </c>
      <c r="D220" s="1">
        <v>0</v>
      </c>
      <c r="E220" s="1">
        <v>0</v>
      </c>
      <c r="F220" s="1">
        <v>1000</v>
      </c>
    </row>
    <row r="221" spans="1:6" x14ac:dyDescent="0.35">
      <c r="A221" s="10">
        <v>46027</v>
      </c>
      <c r="B221" s="1" t="s">
        <v>49</v>
      </c>
      <c r="C221" s="1" t="s">
        <v>24</v>
      </c>
      <c r="D221" s="1">
        <v>0</v>
      </c>
      <c r="E221" s="1">
        <v>0</v>
      </c>
      <c r="F221" s="1">
        <v>5000</v>
      </c>
    </row>
    <row r="222" spans="1:6" x14ac:dyDescent="0.35">
      <c r="A222" s="10">
        <v>46027</v>
      </c>
      <c r="B222" s="1" t="s">
        <v>50</v>
      </c>
      <c r="C222" s="1" t="s">
        <v>19</v>
      </c>
      <c r="D222" s="1">
        <v>0</v>
      </c>
      <c r="E222" s="1">
        <v>0</v>
      </c>
      <c r="F222" s="1">
        <v>500</v>
      </c>
    </row>
    <row r="223" spans="1:6" x14ac:dyDescent="0.35">
      <c r="A223" s="10">
        <v>46027</v>
      </c>
      <c r="B223" s="1" t="s">
        <v>51</v>
      </c>
      <c r="C223" s="1" t="s">
        <v>22</v>
      </c>
      <c r="D223" s="1">
        <v>0</v>
      </c>
      <c r="E223" s="1">
        <v>0</v>
      </c>
      <c r="F223" s="1">
        <v>399</v>
      </c>
    </row>
    <row r="224" spans="1:6" x14ac:dyDescent="0.35">
      <c r="A224" s="10">
        <v>46027</v>
      </c>
      <c r="B224" s="1" t="s">
        <v>52</v>
      </c>
      <c r="C224" s="1" t="s">
        <v>53</v>
      </c>
      <c r="D224" s="1">
        <v>0</v>
      </c>
      <c r="E224" s="1">
        <v>0</v>
      </c>
      <c r="F224" s="1">
        <v>49.5</v>
      </c>
    </row>
    <row r="225" spans="1:6" x14ac:dyDescent="0.35">
      <c r="A225" s="10">
        <v>46027</v>
      </c>
      <c r="B225" s="1" t="s">
        <v>54</v>
      </c>
      <c r="C225" s="1" t="s">
        <v>29</v>
      </c>
      <c r="D225" s="1">
        <v>0</v>
      </c>
      <c r="E225" s="1">
        <v>0.2</v>
      </c>
      <c r="F225" s="1">
        <v>189.20000000000002</v>
      </c>
    </row>
    <row r="226" spans="1:6" x14ac:dyDescent="0.35">
      <c r="A226" s="10">
        <v>46028</v>
      </c>
      <c r="B226" s="1" t="s">
        <v>7</v>
      </c>
      <c r="C226" s="1" t="s">
        <v>17</v>
      </c>
      <c r="D226" s="1">
        <v>0</v>
      </c>
      <c r="E226" s="1">
        <v>1</v>
      </c>
      <c r="F226" s="1">
        <v>1</v>
      </c>
    </row>
    <row r="227" spans="1:6" x14ac:dyDescent="0.35">
      <c r="A227" s="10">
        <v>46028</v>
      </c>
      <c r="B227" s="1" t="s">
        <v>106</v>
      </c>
      <c r="C227" s="1" t="s">
        <v>19</v>
      </c>
      <c r="D227" s="1">
        <v>0</v>
      </c>
      <c r="E227" s="1">
        <v>14</v>
      </c>
      <c r="F227" s="1">
        <v>-81</v>
      </c>
    </row>
    <row r="228" spans="1:6" x14ac:dyDescent="0.35">
      <c r="A228" s="10">
        <v>46028</v>
      </c>
      <c r="B228" s="1" t="s">
        <v>21</v>
      </c>
      <c r="C228" s="1" t="s">
        <v>22</v>
      </c>
      <c r="D228" s="1">
        <v>0</v>
      </c>
      <c r="E228" s="1">
        <v>2</v>
      </c>
      <c r="F228" s="1">
        <v>477.75</v>
      </c>
    </row>
    <row r="229" spans="1:6" x14ac:dyDescent="0.35">
      <c r="A229" s="10">
        <v>46028</v>
      </c>
      <c r="B229" s="1" t="s">
        <v>23</v>
      </c>
      <c r="C229" s="1" t="s">
        <v>24</v>
      </c>
      <c r="D229" s="1">
        <v>0</v>
      </c>
      <c r="E229" s="1">
        <v>3</v>
      </c>
      <c r="F229" s="1">
        <v>88</v>
      </c>
    </row>
    <row r="230" spans="1:6" x14ac:dyDescent="0.35">
      <c r="A230" s="10">
        <v>46028</v>
      </c>
      <c r="B230" s="1" t="s">
        <v>25</v>
      </c>
      <c r="C230" s="1" t="s">
        <v>17</v>
      </c>
      <c r="D230" s="1">
        <v>0</v>
      </c>
      <c r="E230" s="1">
        <v>1</v>
      </c>
      <c r="F230" s="1">
        <v>85</v>
      </c>
    </row>
    <row r="231" spans="1:6" x14ac:dyDescent="0.35">
      <c r="A231" s="10">
        <v>46028</v>
      </c>
      <c r="B231" s="1" t="s">
        <v>26</v>
      </c>
      <c r="C231" s="1" t="s">
        <v>17</v>
      </c>
      <c r="D231" s="1">
        <v>0</v>
      </c>
      <c r="E231" s="1">
        <v>0.5</v>
      </c>
      <c r="F231" s="1">
        <v>19.5</v>
      </c>
    </row>
    <row r="232" spans="1:6" x14ac:dyDescent="0.35">
      <c r="A232" s="10">
        <v>46028</v>
      </c>
      <c r="B232" s="1" t="s">
        <v>27</v>
      </c>
      <c r="C232" s="1" t="s">
        <v>19</v>
      </c>
      <c r="D232" s="1">
        <v>0</v>
      </c>
      <c r="E232" s="1">
        <v>1</v>
      </c>
      <c r="F232" s="1">
        <v>290.5</v>
      </c>
    </row>
    <row r="233" spans="1:6" x14ac:dyDescent="0.35">
      <c r="A233" s="10">
        <v>46028</v>
      </c>
      <c r="B233" s="1" t="s">
        <v>28</v>
      </c>
      <c r="C233" s="1" t="s">
        <v>29</v>
      </c>
      <c r="D233" s="1">
        <v>0</v>
      </c>
      <c r="E233" s="1">
        <v>0.2</v>
      </c>
      <c r="F233" s="1">
        <v>99</v>
      </c>
    </row>
    <row r="234" spans="1:6" x14ac:dyDescent="0.35">
      <c r="A234" s="10">
        <v>46028</v>
      </c>
      <c r="B234" s="1" t="s">
        <v>30</v>
      </c>
      <c r="C234" s="1" t="s">
        <v>17</v>
      </c>
      <c r="D234" s="1">
        <v>0</v>
      </c>
      <c r="E234" s="1">
        <v>25</v>
      </c>
      <c r="F234" s="1">
        <v>375</v>
      </c>
    </row>
    <row r="235" spans="1:6" x14ac:dyDescent="0.35">
      <c r="A235" s="10">
        <v>46028</v>
      </c>
      <c r="B235" s="1" t="s">
        <v>31</v>
      </c>
      <c r="C235" s="1" t="s">
        <v>17</v>
      </c>
      <c r="D235" s="1">
        <v>0</v>
      </c>
      <c r="E235" s="1">
        <v>15</v>
      </c>
      <c r="F235" s="1">
        <v>210</v>
      </c>
    </row>
    <row r="236" spans="1:6" x14ac:dyDescent="0.35">
      <c r="A236" s="10">
        <v>46028</v>
      </c>
      <c r="B236" s="1" t="s">
        <v>32</v>
      </c>
      <c r="C236" s="1" t="s">
        <v>17</v>
      </c>
      <c r="D236" s="1">
        <v>0</v>
      </c>
      <c r="E236" s="1">
        <v>15</v>
      </c>
      <c r="F236" s="1">
        <v>323</v>
      </c>
    </row>
    <row r="237" spans="1:6" x14ac:dyDescent="0.35">
      <c r="A237" s="10">
        <v>46028</v>
      </c>
      <c r="B237" s="1" t="s">
        <v>33</v>
      </c>
      <c r="C237" s="1" t="s">
        <v>22</v>
      </c>
      <c r="D237" s="1">
        <v>0</v>
      </c>
      <c r="E237" s="1">
        <v>0.2</v>
      </c>
      <c r="F237" s="1">
        <v>199.05</v>
      </c>
    </row>
    <row r="238" spans="1:6" x14ac:dyDescent="0.35">
      <c r="A238" s="10">
        <v>46028</v>
      </c>
      <c r="B238" s="1" t="s">
        <v>34</v>
      </c>
      <c r="C238" s="1" t="s">
        <v>24</v>
      </c>
      <c r="D238" s="1">
        <v>0</v>
      </c>
      <c r="E238" s="1">
        <v>0</v>
      </c>
      <c r="F238" s="1">
        <v>292</v>
      </c>
    </row>
    <row r="239" spans="1:6" x14ac:dyDescent="0.35">
      <c r="A239" s="10">
        <v>46028</v>
      </c>
      <c r="B239" s="1" t="s">
        <v>35</v>
      </c>
      <c r="C239" s="1" t="s">
        <v>36</v>
      </c>
      <c r="D239" s="1">
        <v>0</v>
      </c>
      <c r="E239" s="1">
        <v>5</v>
      </c>
      <c r="F239" s="1">
        <v>489</v>
      </c>
    </row>
    <row r="240" spans="1:6" x14ac:dyDescent="0.35">
      <c r="A240" s="10">
        <v>46028</v>
      </c>
      <c r="B240" s="1" t="s">
        <v>37</v>
      </c>
      <c r="C240" s="1" t="s">
        <v>22</v>
      </c>
      <c r="D240" s="1">
        <v>0</v>
      </c>
      <c r="E240" s="1">
        <v>1</v>
      </c>
      <c r="F240" s="1">
        <v>45</v>
      </c>
    </row>
    <row r="241" spans="1:6" x14ac:dyDescent="0.35">
      <c r="A241" s="10">
        <v>46028</v>
      </c>
      <c r="B241" s="1" t="s">
        <v>38</v>
      </c>
      <c r="C241" s="1" t="s">
        <v>29</v>
      </c>
      <c r="D241" s="1">
        <v>0</v>
      </c>
      <c r="E241" s="1">
        <v>1.6</v>
      </c>
      <c r="F241" s="1">
        <v>292</v>
      </c>
    </row>
    <row r="242" spans="1:6" x14ac:dyDescent="0.35">
      <c r="A242" s="10">
        <v>46028</v>
      </c>
      <c r="B242" s="1" t="s">
        <v>39</v>
      </c>
      <c r="C242" s="1" t="s">
        <v>29</v>
      </c>
      <c r="D242" s="1">
        <v>0</v>
      </c>
      <c r="E242" s="1">
        <v>0</v>
      </c>
      <c r="F242" s="1">
        <v>300</v>
      </c>
    </row>
    <row r="243" spans="1:6" x14ac:dyDescent="0.35">
      <c r="A243" s="10">
        <v>46028</v>
      </c>
      <c r="B243" s="1" t="s">
        <v>40</v>
      </c>
      <c r="C243" s="1" t="s">
        <v>22</v>
      </c>
      <c r="D243" s="1">
        <v>0</v>
      </c>
      <c r="E243" s="1">
        <v>1.5</v>
      </c>
      <c r="F243" s="1">
        <v>192.5</v>
      </c>
    </row>
    <row r="244" spans="1:6" x14ac:dyDescent="0.35">
      <c r="A244" s="10">
        <v>46028</v>
      </c>
      <c r="B244" s="1" t="s">
        <v>41</v>
      </c>
      <c r="C244" s="1" t="s">
        <v>29</v>
      </c>
      <c r="D244" s="1">
        <v>0</v>
      </c>
      <c r="E244" s="1">
        <v>10</v>
      </c>
      <c r="F244" s="1">
        <v>490</v>
      </c>
    </row>
    <row r="245" spans="1:6" x14ac:dyDescent="0.35">
      <c r="A245" s="10">
        <v>46028</v>
      </c>
      <c r="B245" s="1" t="s">
        <v>42</v>
      </c>
      <c r="C245" s="1" t="s">
        <v>43</v>
      </c>
      <c r="D245" s="1">
        <v>0</v>
      </c>
      <c r="E245" s="1">
        <v>0</v>
      </c>
      <c r="F245" s="1">
        <v>500</v>
      </c>
    </row>
    <row r="246" spans="1:6" x14ac:dyDescent="0.35">
      <c r="A246" s="10">
        <v>46028</v>
      </c>
      <c r="B246" s="1" t="s">
        <v>44</v>
      </c>
      <c r="C246" s="1" t="s">
        <v>45</v>
      </c>
      <c r="D246" s="1">
        <v>0</v>
      </c>
      <c r="E246" s="1">
        <v>1</v>
      </c>
      <c r="F246" s="1">
        <v>393</v>
      </c>
    </row>
    <row r="247" spans="1:6" x14ac:dyDescent="0.35">
      <c r="A247" s="10">
        <v>46028</v>
      </c>
      <c r="B247" s="1" t="s">
        <v>46</v>
      </c>
      <c r="C247" s="1" t="s">
        <v>17</v>
      </c>
      <c r="D247" s="1">
        <v>0</v>
      </c>
      <c r="E247" s="1">
        <v>14</v>
      </c>
      <c r="F247" s="1">
        <v>-70</v>
      </c>
    </row>
    <row r="248" spans="1:6" x14ac:dyDescent="0.35">
      <c r="A248" s="10">
        <v>46028</v>
      </c>
      <c r="B248" s="1" t="s">
        <v>47</v>
      </c>
      <c r="C248" s="1" t="s">
        <v>19</v>
      </c>
      <c r="D248" s="1">
        <v>0</v>
      </c>
      <c r="E248" s="1">
        <v>5</v>
      </c>
      <c r="F248" s="1">
        <v>475</v>
      </c>
    </row>
    <row r="249" spans="1:6" x14ac:dyDescent="0.35">
      <c r="A249" s="10">
        <v>46028</v>
      </c>
      <c r="B249" s="1" t="s">
        <v>48</v>
      </c>
      <c r="C249" s="1" t="s">
        <v>24</v>
      </c>
      <c r="D249" s="1">
        <v>0</v>
      </c>
      <c r="E249" s="1">
        <v>2</v>
      </c>
      <c r="F249" s="1">
        <v>998</v>
      </c>
    </row>
    <row r="250" spans="1:6" x14ac:dyDescent="0.35">
      <c r="A250" s="10">
        <v>46028</v>
      </c>
      <c r="B250" s="1" t="s">
        <v>49</v>
      </c>
      <c r="C250" s="1" t="s">
        <v>24</v>
      </c>
      <c r="D250" s="1">
        <v>0</v>
      </c>
      <c r="E250" s="1">
        <v>0</v>
      </c>
      <c r="F250" s="1">
        <v>5000</v>
      </c>
    </row>
    <row r="251" spans="1:6" x14ac:dyDescent="0.35">
      <c r="A251" s="10">
        <v>46028</v>
      </c>
      <c r="B251" s="1" t="s">
        <v>50</v>
      </c>
      <c r="C251" s="1" t="s">
        <v>19</v>
      </c>
      <c r="D251" s="1">
        <v>0</v>
      </c>
      <c r="E251" s="1">
        <v>0</v>
      </c>
      <c r="F251" s="1">
        <v>500</v>
      </c>
    </row>
    <row r="252" spans="1:6" x14ac:dyDescent="0.35">
      <c r="A252" s="10">
        <v>46028</v>
      </c>
      <c r="B252" s="1" t="s">
        <v>51</v>
      </c>
      <c r="C252" s="1" t="s">
        <v>22</v>
      </c>
      <c r="D252" s="1">
        <v>0</v>
      </c>
      <c r="E252" s="1">
        <v>0</v>
      </c>
      <c r="F252" s="1">
        <v>399</v>
      </c>
    </row>
    <row r="253" spans="1:6" x14ac:dyDescent="0.35">
      <c r="A253" s="3">
        <v>46028</v>
      </c>
      <c r="B253" s="1" t="s">
        <v>52</v>
      </c>
      <c r="C253" s="1" t="s">
        <v>53</v>
      </c>
      <c r="D253" s="1">
        <v>0</v>
      </c>
      <c r="E253" s="1">
        <v>0</v>
      </c>
      <c r="F253" s="1">
        <v>49.5</v>
      </c>
    </row>
    <row r="254" spans="1:6" x14ac:dyDescent="0.35">
      <c r="A254" s="10">
        <v>46028</v>
      </c>
      <c r="B254" s="1" t="s">
        <v>54</v>
      </c>
      <c r="C254" s="1" t="s">
        <v>29</v>
      </c>
      <c r="D254" s="1">
        <v>0</v>
      </c>
      <c r="E254" s="1">
        <v>0.2</v>
      </c>
      <c r="F254" s="1">
        <v>189</v>
      </c>
    </row>
    <row r="255" spans="1:6" x14ac:dyDescent="0.35">
      <c r="A255" s="10">
        <v>46028</v>
      </c>
      <c r="B255" s="1" t="s">
        <v>59</v>
      </c>
      <c r="C255" s="1" t="s">
        <v>17</v>
      </c>
      <c r="D255" s="1">
        <v>0</v>
      </c>
      <c r="E255" s="1">
        <v>2</v>
      </c>
      <c r="F255" s="1">
        <v>40</v>
      </c>
    </row>
    <row r="256" spans="1:6" x14ac:dyDescent="0.35">
      <c r="A256" s="10">
        <v>46028</v>
      </c>
      <c r="B256" s="1" t="s">
        <v>106</v>
      </c>
      <c r="C256" s="1" t="s">
        <v>19</v>
      </c>
      <c r="D256" s="1">
        <v>0</v>
      </c>
      <c r="E256" s="1">
        <v>28</v>
      </c>
      <c r="F256" s="1">
        <v>-109</v>
      </c>
    </row>
    <row r="257" spans="1:6" x14ac:dyDescent="0.35">
      <c r="A257" s="10">
        <v>46028</v>
      </c>
      <c r="B257" s="1" t="s">
        <v>21</v>
      </c>
      <c r="C257" s="1" t="s">
        <v>22</v>
      </c>
      <c r="D257" s="1">
        <v>0</v>
      </c>
      <c r="E257" s="1">
        <v>4</v>
      </c>
      <c r="F257" s="1">
        <v>473.75</v>
      </c>
    </row>
    <row r="258" spans="1:6" x14ac:dyDescent="0.35">
      <c r="A258" s="10">
        <v>46028</v>
      </c>
      <c r="B258" s="1" t="s">
        <v>23</v>
      </c>
      <c r="C258" s="1" t="s">
        <v>24</v>
      </c>
      <c r="D258" s="1">
        <v>0</v>
      </c>
      <c r="E258" s="1">
        <v>6</v>
      </c>
      <c r="F258" s="1">
        <v>82</v>
      </c>
    </row>
    <row r="259" spans="1:6" x14ac:dyDescent="0.35">
      <c r="A259" s="10">
        <v>46028</v>
      </c>
      <c r="B259" s="1" t="s">
        <v>25</v>
      </c>
      <c r="C259" s="1" t="s">
        <v>17</v>
      </c>
      <c r="D259" s="1">
        <v>0</v>
      </c>
      <c r="E259" s="1">
        <v>2</v>
      </c>
      <c r="F259" s="1">
        <v>83</v>
      </c>
    </row>
    <row r="260" spans="1:6" x14ac:dyDescent="0.35">
      <c r="A260" s="10">
        <v>46028</v>
      </c>
      <c r="B260" s="1" t="s">
        <v>26</v>
      </c>
      <c r="C260" s="1" t="s">
        <v>17</v>
      </c>
      <c r="D260" s="1">
        <v>0</v>
      </c>
      <c r="E260" s="1">
        <v>1</v>
      </c>
      <c r="F260" s="1">
        <v>18.5</v>
      </c>
    </row>
    <row r="261" spans="1:6" x14ac:dyDescent="0.35">
      <c r="A261" s="10">
        <v>46028</v>
      </c>
      <c r="B261" s="1" t="s">
        <v>27</v>
      </c>
      <c r="C261" s="1" t="s">
        <v>19</v>
      </c>
      <c r="D261" s="1">
        <v>0</v>
      </c>
      <c r="E261" s="1">
        <v>2</v>
      </c>
      <c r="F261" s="1">
        <v>288.5</v>
      </c>
    </row>
    <row r="262" spans="1:6" x14ac:dyDescent="0.35">
      <c r="A262" s="10">
        <v>46028</v>
      </c>
      <c r="B262" s="1" t="s">
        <v>28</v>
      </c>
      <c r="C262" s="1" t="s">
        <v>29</v>
      </c>
      <c r="D262" s="1">
        <v>0</v>
      </c>
      <c r="E262" s="1">
        <v>0.4</v>
      </c>
      <c r="F262" s="1">
        <v>98.6</v>
      </c>
    </row>
    <row r="263" spans="1:6" x14ac:dyDescent="0.35">
      <c r="A263" s="10">
        <v>46028</v>
      </c>
      <c r="B263" s="1" t="s">
        <v>30</v>
      </c>
      <c r="C263" s="1" t="s">
        <v>17</v>
      </c>
      <c r="D263" s="1">
        <v>0</v>
      </c>
      <c r="E263" s="1">
        <v>50</v>
      </c>
      <c r="F263" s="1">
        <v>325</v>
      </c>
    </row>
    <row r="264" spans="1:6" x14ac:dyDescent="0.35">
      <c r="A264" s="10">
        <v>46028</v>
      </c>
      <c r="B264" s="1" t="s">
        <v>31</v>
      </c>
      <c r="C264" s="1" t="s">
        <v>17</v>
      </c>
      <c r="D264" s="1">
        <v>0</v>
      </c>
      <c r="E264" s="1">
        <v>30</v>
      </c>
      <c r="F264" s="1">
        <v>180</v>
      </c>
    </row>
    <row r="265" spans="1:6" x14ac:dyDescent="0.35">
      <c r="A265" s="10">
        <v>46028</v>
      </c>
      <c r="B265" s="1" t="s">
        <v>32</v>
      </c>
      <c r="C265" s="1" t="s">
        <v>17</v>
      </c>
      <c r="D265" s="1">
        <v>0</v>
      </c>
      <c r="E265" s="1">
        <v>0</v>
      </c>
      <c r="F265" s="1">
        <v>323</v>
      </c>
    </row>
    <row r="266" spans="1:6" x14ac:dyDescent="0.35">
      <c r="A266" s="10">
        <v>46028</v>
      </c>
      <c r="B266" s="1" t="s">
        <v>33</v>
      </c>
      <c r="C266" s="1" t="s">
        <v>22</v>
      </c>
      <c r="D266" s="1">
        <v>0</v>
      </c>
      <c r="E266" s="1">
        <v>0.4</v>
      </c>
      <c r="F266" s="1">
        <v>198.65</v>
      </c>
    </row>
    <row r="267" spans="1:6" x14ac:dyDescent="0.35">
      <c r="A267" s="10">
        <v>46028</v>
      </c>
      <c r="B267" s="1" t="s">
        <v>34</v>
      </c>
      <c r="C267" s="1" t="s">
        <v>24</v>
      </c>
      <c r="D267" s="1">
        <v>0</v>
      </c>
      <c r="E267" s="1">
        <v>0</v>
      </c>
      <c r="F267" s="1">
        <v>292</v>
      </c>
    </row>
    <row r="268" spans="1:6" x14ac:dyDescent="0.35">
      <c r="A268" s="10">
        <v>46028</v>
      </c>
      <c r="B268" s="1" t="s">
        <v>35</v>
      </c>
      <c r="C268" s="1" t="s">
        <v>36</v>
      </c>
      <c r="D268" s="1">
        <v>0</v>
      </c>
      <c r="E268" s="1">
        <v>10</v>
      </c>
      <c r="F268" s="1">
        <v>479</v>
      </c>
    </row>
    <row r="269" spans="1:6" x14ac:dyDescent="0.35">
      <c r="A269" s="10">
        <v>46028</v>
      </c>
      <c r="B269" s="1" t="s">
        <v>37</v>
      </c>
      <c r="C269" s="1" t="s">
        <v>22</v>
      </c>
      <c r="D269" s="1">
        <v>0</v>
      </c>
      <c r="E269" s="1">
        <v>2</v>
      </c>
      <c r="F269" s="1">
        <v>43</v>
      </c>
    </row>
    <row r="270" spans="1:6" x14ac:dyDescent="0.35">
      <c r="A270" s="10">
        <v>46028</v>
      </c>
      <c r="B270" s="1" t="s">
        <v>38</v>
      </c>
      <c r="C270" s="1" t="s">
        <v>29</v>
      </c>
      <c r="D270" s="1">
        <v>0</v>
      </c>
      <c r="E270" s="1">
        <v>3.2</v>
      </c>
      <c r="F270" s="1">
        <v>288.8</v>
      </c>
    </row>
    <row r="271" spans="1:6" x14ac:dyDescent="0.35">
      <c r="A271" s="10">
        <v>46028</v>
      </c>
      <c r="B271" s="1" t="s">
        <v>39</v>
      </c>
      <c r="C271" s="1" t="s">
        <v>29</v>
      </c>
      <c r="D271" s="1">
        <v>0</v>
      </c>
      <c r="E271" s="1">
        <v>0</v>
      </c>
      <c r="F271" s="1">
        <v>300</v>
      </c>
    </row>
    <row r="272" spans="1:6" x14ac:dyDescent="0.35">
      <c r="A272" s="10">
        <v>46028</v>
      </c>
      <c r="B272" s="1" t="s">
        <v>40</v>
      </c>
      <c r="C272" s="1" t="s">
        <v>22</v>
      </c>
      <c r="D272" s="1">
        <v>0</v>
      </c>
      <c r="E272" s="1">
        <v>3</v>
      </c>
      <c r="F272" s="1">
        <v>189.5</v>
      </c>
    </row>
    <row r="273" spans="1:6" x14ac:dyDescent="0.35">
      <c r="A273" s="10">
        <v>46028</v>
      </c>
      <c r="B273" s="1" t="s">
        <v>41</v>
      </c>
      <c r="C273" s="1" t="s">
        <v>29</v>
      </c>
      <c r="D273" s="1">
        <v>0</v>
      </c>
      <c r="E273" s="1">
        <v>20</v>
      </c>
      <c r="F273" s="1">
        <v>470</v>
      </c>
    </row>
    <row r="274" spans="1:6" x14ac:dyDescent="0.35">
      <c r="A274" s="10">
        <v>46028</v>
      </c>
      <c r="B274" s="1" t="s">
        <v>42</v>
      </c>
      <c r="C274" s="1" t="s">
        <v>43</v>
      </c>
      <c r="D274" s="1">
        <v>0</v>
      </c>
      <c r="E274" s="1">
        <v>0</v>
      </c>
      <c r="F274" s="1">
        <v>500</v>
      </c>
    </row>
    <row r="275" spans="1:6" x14ac:dyDescent="0.35">
      <c r="A275" s="10">
        <v>46028</v>
      </c>
      <c r="B275" s="1" t="s">
        <v>44</v>
      </c>
      <c r="C275" s="1" t="s">
        <v>45</v>
      </c>
      <c r="D275" s="1">
        <v>0</v>
      </c>
      <c r="E275" s="1">
        <v>2</v>
      </c>
      <c r="F275" s="1">
        <v>391</v>
      </c>
    </row>
    <row r="276" spans="1:6" x14ac:dyDescent="0.35">
      <c r="A276" s="10">
        <v>46028</v>
      </c>
      <c r="B276" s="1" t="s">
        <v>46</v>
      </c>
      <c r="C276" s="1" t="s">
        <v>17</v>
      </c>
      <c r="D276" s="1">
        <v>0</v>
      </c>
      <c r="E276" s="1">
        <v>28</v>
      </c>
      <c r="F276" s="1">
        <v>-98</v>
      </c>
    </row>
    <row r="277" spans="1:6" x14ac:dyDescent="0.35">
      <c r="A277" s="10">
        <v>46028</v>
      </c>
      <c r="B277" s="1" t="s">
        <v>47</v>
      </c>
      <c r="C277" s="1" t="s">
        <v>19</v>
      </c>
      <c r="D277" s="1">
        <v>0</v>
      </c>
      <c r="E277" s="1">
        <v>10</v>
      </c>
      <c r="F277" s="1">
        <v>465</v>
      </c>
    </row>
    <row r="278" spans="1:6" x14ac:dyDescent="0.35">
      <c r="A278" s="10">
        <v>46028</v>
      </c>
      <c r="B278" s="1" t="s">
        <v>48</v>
      </c>
      <c r="C278" s="1" t="s">
        <v>24</v>
      </c>
      <c r="D278" s="1">
        <v>0</v>
      </c>
      <c r="E278" s="1">
        <v>6</v>
      </c>
      <c r="F278" s="1">
        <v>992</v>
      </c>
    </row>
    <row r="279" spans="1:6" x14ac:dyDescent="0.35">
      <c r="A279" s="10">
        <v>46028</v>
      </c>
      <c r="B279" s="1" t="s">
        <v>49</v>
      </c>
      <c r="C279" s="1" t="s">
        <v>24</v>
      </c>
      <c r="D279" s="1">
        <v>0</v>
      </c>
      <c r="E279" s="1">
        <v>0</v>
      </c>
      <c r="F279" s="1">
        <v>5000</v>
      </c>
    </row>
    <row r="280" spans="1:6" x14ac:dyDescent="0.35">
      <c r="A280" s="10">
        <v>46028</v>
      </c>
      <c r="B280" s="1" t="s">
        <v>50</v>
      </c>
      <c r="C280" s="1" t="s">
        <v>19</v>
      </c>
      <c r="D280" s="1">
        <v>0</v>
      </c>
      <c r="E280" s="1">
        <v>0</v>
      </c>
      <c r="F280" s="1">
        <v>500</v>
      </c>
    </row>
    <row r="281" spans="1:6" x14ac:dyDescent="0.35">
      <c r="A281" s="10">
        <v>46028</v>
      </c>
      <c r="B281" s="1" t="s">
        <v>51</v>
      </c>
      <c r="C281" s="1" t="s">
        <v>22</v>
      </c>
      <c r="D281" s="1">
        <v>0</v>
      </c>
      <c r="E281" s="1">
        <v>0</v>
      </c>
      <c r="F281" s="1">
        <v>399</v>
      </c>
    </row>
    <row r="282" spans="1:6" x14ac:dyDescent="0.35">
      <c r="A282" s="10">
        <v>46028</v>
      </c>
      <c r="B282" s="1" t="s">
        <v>52</v>
      </c>
      <c r="C282" s="1" t="s">
        <v>53</v>
      </c>
      <c r="D282" s="1">
        <v>0</v>
      </c>
      <c r="E282" s="1">
        <v>0</v>
      </c>
      <c r="F282" s="1">
        <v>49.5</v>
      </c>
    </row>
    <row r="283" spans="1:6" x14ac:dyDescent="0.35">
      <c r="A283" s="3">
        <v>46028</v>
      </c>
      <c r="B283" s="1" t="s">
        <v>54</v>
      </c>
      <c r="C283" s="1" t="s">
        <v>29</v>
      </c>
      <c r="D283" s="1">
        <v>0</v>
      </c>
      <c r="E283" s="1">
        <v>0.4</v>
      </c>
      <c r="F283" s="1">
        <v>188.6</v>
      </c>
    </row>
    <row r="284" spans="1:6" x14ac:dyDescent="0.35">
      <c r="A284" s="3">
        <v>46029</v>
      </c>
      <c r="B284" s="1" t="s">
        <v>60</v>
      </c>
      <c r="C284" s="1" t="s">
        <v>17</v>
      </c>
      <c r="D284" s="1">
        <v>0</v>
      </c>
      <c r="E284" s="1">
        <v>1</v>
      </c>
      <c r="F284" s="1">
        <v>3</v>
      </c>
    </row>
    <row r="285" spans="1:6" x14ac:dyDescent="0.35">
      <c r="A285" s="3">
        <v>46029</v>
      </c>
      <c r="B285" s="1" t="s">
        <v>106</v>
      </c>
      <c r="C285" s="1" t="s">
        <v>19</v>
      </c>
      <c r="D285" s="1">
        <v>0</v>
      </c>
      <c r="E285" s="1">
        <v>18</v>
      </c>
      <c r="F285" s="1">
        <v>-127</v>
      </c>
    </row>
    <row r="286" spans="1:6" x14ac:dyDescent="0.35">
      <c r="A286" s="3">
        <v>46029</v>
      </c>
      <c r="B286" s="1" t="s">
        <v>21</v>
      </c>
      <c r="C286" s="1" t="s">
        <v>22</v>
      </c>
      <c r="D286" s="1">
        <v>0</v>
      </c>
      <c r="E286" s="1">
        <v>5.25</v>
      </c>
      <c r="F286" s="1">
        <v>468.5</v>
      </c>
    </row>
    <row r="287" spans="1:6" x14ac:dyDescent="0.35">
      <c r="A287" s="3">
        <v>46029</v>
      </c>
      <c r="B287" s="1" t="s">
        <v>23</v>
      </c>
      <c r="C287" s="1" t="s">
        <v>24</v>
      </c>
      <c r="D287" s="1">
        <v>0</v>
      </c>
      <c r="E287" s="1">
        <v>6</v>
      </c>
      <c r="F287" s="1">
        <v>76</v>
      </c>
    </row>
    <row r="288" spans="1:6" x14ac:dyDescent="0.35">
      <c r="A288" s="3">
        <v>46029</v>
      </c>
      <c r="B288" s="1" t="s">
        <v>25</v>
      </c>
      <c r="C288" s="1" t="s">
        <v>17</v>
      </c>
      <c r="D288" s="1">
        <v>0</v>
      </c>
      <c r="E288" s="1">
        <v>1</v>
      </c>
      <c r="F288" s="1">
        <v>82</v>
      </c>
    </row>
    <row r="289" spans="1:6" x14ac:dyDescent="0.35">
      <c r="A289" s="3">
        <v>46029</v>
      </c>
      <c r="B289" s="1" t="s">
        <v>26</v>
      </c>
      <c r="C289" s="1" t="s">
        <v>17</v>
      </c>
      <c r="D289" s="1">
        <v>0</v>
      </c>
      <c r="E289" s="1">
        <v>0</v>
      </c>
      <c r="F289" s="1">
        <v>18.5</v>
      </c>
    </row>
    <row r="290" spans="1:6" x14ac:dyDescent="0.35">
      <c r="A290" s="10">
        <v>46029</v>
      </c>
      <c r="B290" s="1" t="s">
        <v>27</v>
      </c>
      <c r="C290" s="1" t="s">
        <v>19</v>
      </c>
      <c r="D290" s="1">
        <v>0</v>
      </c>
      <c r="E290" s="1">
        <v>2.5</v>
      </c>
      <c r="F290" s="1">
        <v>286</v>
      </c>
    </row>
    <row r="291" spans="1:6" x14ac:dyDescent="0.35">
      <c r="A291" s="10">
        <v>46029</v>
      </c>
      <c r="B291" s="1" t="s">
        <v>28</v>
      </c>
      <c r="C291" s="1" t="s">
        <v>29</v>
      </c>
      <c r="D291" s="1">
        <v>0</v>
      </c>
      <c r="E291" s="1">
        <v>0.2</v>
      </c>
      <c r="F291" s="1">
        <v>98.399999999999991</v>
      </c>
    </row>
    <row r="292" spans="1:6" x14ac:dyDescent="0.35">
      <c r="A292" s="10">
        <v>46029</v>
      </c>
      <c r="B292" s="1" t="s">
        <v>30</v>
      </c>
      <c r="C292" s="1" t="s">
        <v>17</v>
      </c>
      <c r="D292" s="1">
        <v>0</v>
      </c>
      <c r="E292" s="1">
        <v>25</v>
      </c>
      <c r="F292" s="1">
        <v>300</v>
      </c>
    </row>
    <row r="293" spans="1:6" x14ac:dyDescent="0.35">
      <c r="A293" s="10">
        <v>46029</v>
      </c>
      <c r="B293" s="1" t="s">
        <v>31</v>
      </c>
      <c r="C293" s="1" t="s">
        <v>17</v>
      </c>
      <c r="D293" s="1">
        <v>0</v>
      </c>
      <c r="E293" s="1">
        <v>25</v>
      </c>
      <c r="F293" s="1">
        <v>155</v>
      </c>
    </row>
    <row r="294" spans="1:6" x14ac:dyDescent="0.35">
      <c r="A294" s="10">
        <v>46029</v>
      </c>
      <c r="B294" s="1" t="s">
        <v>32</v>
      </c>
      <c r="C294" s="1" t="s">
        <v>17</v>
      </c>
      <c r="D294" s="1">
        <v>0</v>
      </c>
      <c r="E294" s="1">
        <v>12</v>
      </c>
      <c r="F294" s="1">
        <v>311</v>
      </c>
    </row>
    <row r="295" spans="1:6" x14ac:dyDescent="0.35">
      <c r="A295" s="10">
        <v>46029</v>
      </c>
      <c r="B295" s="1" t="s">
        <v>33</v>
      </c>
      <c r="C295" s="1" t="s">
        <v>22</v>
      </c>
      <c r="D295" s="1">
        <v>0</v>
      </c>
      <c r="E295" s="1">
        <v>0.15</v>
      </c>
      <c r="F295" s="1">
        <v>198.5</v>
      </c>
    </row>
    <row r="296" spans="1:6" x14ac:dyDescent="0.35">
      <c r="A296" s="10">
        <v>46029</v>
      </c>
      <c r="B296" s="1" t="s">
        <v>34</v>
      </c>
      <c r="C296" s="1" t="s">
        <v>24</v>
      </c>
      <c r="D296" s="1">
        <v>0</v>
      </c>
      <c r="E296" s="1">
        <v>2</v>
      </c>
      <c r="F296" s="1">
        <v>290</v>
      </c>
    </row>
    <row r="297" spans="1:6" x14ac:dyDescent="0.35">
      <c r="A297" s="10">
        <v>46029</v>
      </c>
      <c r="B297" s="1" t="s">
        <v>35</v>
      </c>
      <c r="C297" s="1" t="s">
        <v>36</v>
      </c>
      <c r="D297" s="1">
        <v>0</v>
      </c>
      <c r="E297" s="1">
        <v>0</v>
      </c>
      <c r="F297" s="1">
        <v>479</v>
      </c>
    </row>
    <row r="298" spans="1:6" x14ac:dyDescent="0.35">
      <c r="A298" s="10">
        <v>46029</v>
      </c>
      <c r="B298" s="1" t="s">
        <v>37</v>
      </c>
      <c r="C298" s="1" t="s">
        <v>22</v>
      </c>
      <c r="D298" s="1">
        <v>0</v>
      </c>
      <c r="E298" s="1">
        <v>1</v>
      </c>
      <c r="F298" s="1">
        <v>42</v>
      </c>
    </row>
    <row r="299" spans="1:6" x14ac:dyDescent="0.35">
      <c r="A299" s="10">
        <v>46029</v>
      </c>
      <c r="B299" s="1" t="s">
        <v>38</v>
      </c>
      <c r="C299" s="1" t="s">
        <v>29</v>
      </c>
      <c r="D299" s="1">
        <v>0</v>
      </c>
      <c r="E299" s="1">
        <v>1.6</v>
      </c>
      <c r="F299" s="1">
        <v>287.2</v>
      </c>
    </row>
    <row r="300" spans="1:6" x14ac:dyDescent="0.35">
      <c r="A300" s="10">
        <v>46029</v>
      </c>
      <c r="B300" s="1" t="s">
        <v>39</v>
      </c>
      <c r="C300" s="1" t="s">
        <v>29</v>
      </c>
      <c r="D300" s="1">
        <v>0</v>
      </c>
      <c r="E300" s="1">
        <v>0</v>
      </c>
      <c r="F300" s="1">
        <v>300</v>
      </c>
    </row>
    <row r="301" spans="1:6" x14ac:dyDescent="0.35">
      <c r="A301" s="10">
        <v>46029</v>
      </c>
      <c r="B301" s="1" t="s">
        <v>40</v>
      </c>
      <c r="C301" s="1" t="s">
        <v>22</v>
      </c>
      <c r="D301" s="1">
        <v>0</v>
      </c>
      <c r="E301" s="1">
        <v>1.5</v>
      </c>
      <c r="F301" s="1">
        <v>188</v>
      </c>
    </row>
    <row r="302" spans="1:6" x14ac:dyDescent="0.35">
      <c r="A302" s="10">
        <v>46029</v>
      </c>
      <c r="B302" s="1" t="s">
        <v>41</v>
      </c>
      <c r="C302" s="1" t="s">
        <v>29</v>
      </c>
      <c r="D302" s="1">
        <v>0</v>
      </c>
      <c r="E302" s="1">
        <v>0</v>
      </c>
      <c r="F302" s="1">
        <v>470</v>
      </c>
    </row>
    <row r="303" spans="1:6" x14ac:dyDescent="0.35">
      <c r="A303" s="10">
        <v>46029</v>
      </c>
      <c r="B303" s="1" t="s">
        <v>42</v>
      </c>
      <c r="C303" s="1" t="s">
        <v>43</v>
      </c>
      <c r="D303" s="1">
        <v>0</v>
      </c>
      <c r="E303" s="1">
        <v>0</v>
      </c>
      <c r="F303" s="1">
        <v>500</v>
      </c>
    </row>
    <row r="304" spans="1:6" x14ac:dyDescent="0.35">
      <c r="A304" s="10">
        <v>46029</v>
      </c>
      <c r="B304" s="1" t="s">
        <v>44</v>
      </c>
      <c r="C304" s="1" t="s">
        <v>45</v>
      </c>
      <c r="D304" s="1">
        <v>0</v>
      </c>
      <c r="E304" s="1">
        <v>1.5</v>
      </c>
      <c r="F304" s="1">
        <v>389.5</v>
      </c>
    </row>
    <row r="305" spans="1:6" x14ac:dyDescent="0.35">
      <c r="A305" s="10">
        <v>46029</v>
      </c>
      <c r="B305" s="1" t="s">
        <v>46</v>
      </c>
      <c r="C305" s="1" t="s">
        <v>17</v>
      </c>
      <c r="D305" s="1">
        <v>0</v>
      </c>
      <c r="E305" s="1">
        <v>14</v>
      </c>
      <c r="F305" s="1">
        <v>-112</v>
      </c>
    </row>
    <row r="306" spans="1:6" x14ac:dyDescent="0.35">
      <c r="A306" s="10">
        <v>46029</v>
      </c>
      <c r="B306" s="1" t="s">
        <v>47</v>
      </c>
      <c r="C306" s="1" t="s">
        <v>19</v>
      </c>
      <c r="D306" s="1">
        <v>0</v>
      </c>
      <c r="E306" s="1">
        <v>5</v>
      </c>
      <c r="F306" s="1">
        <v>460</v>
      </c>
    </row>
    <row r="307" spans="1:6" x14ac:dyDescent="0.35">
      <c r="A307" s="10">
        <v>46029</v>
      </c>
      <c r="B307" s="1" t="s">
        <v>48</v>
      </c>
      <c r="C307" s="1" t="s">
        <v>24</v>
      </c>
      <c r="D307" s="1">
        <v>0</v>
      </c>
      <c r="E307" s="1">
        <v>0</v>
      </c>
      <c r="F307" s="1">
        <v>992</v>
      </c>
    </row>
    <row r="308" spans="1:6" x14ac:dyDescent="0.35">
      <c r="A308" s="10">
        <v>46029</v>
      </c>
      <c r="B308" s="1" t="s">
        <v>49</v>
      </c>
      <c r="C308" s="1" t="s">
        <v>24</v>
      </c>
      <c r="D308" s="1">
        <v>0</v>
      </c>
      <c r="E308" s="1">
        <v>0</v>
      </c>
      <c r="F308" s="1">
        <v>5000</v>
      </c>
    </row>
    <row r="309" spans="1:6" x14ac:dyDescent="0.35">
      <c r="A309" s="10">
        <v>46029</v>
      </c>
      <c r="B309" s="1" t="s">
        <v>50</v>
      </c>
      <c r="C309" s="1" t="s">
        <v>19</v>
      </c>
      <c r="D309" s="1">
        <v>0</v>
      </c>
      <c r="E309" s="1">
        <v>0</v>
      </c>
      <c r="F309" s="1">
        <v>500</v>
      </c>
    </row>
    <row r="310" spans="1:6" x14ac:dyDescent="0.35">
      <c r="A310" s="10">
        <v>46029</v>
      </c>
      <c r="B310" s="1" t="s">
        <v>51</v>
      </c>
      <c r="C310" s="1" t="s">
        <v>22</v>
      </c>
      <c r="D310" s="1">
        <v>0</v>
      </c>
      <c r="E310" s="1">
        <v>1</v>
      </c>
      <c r="F310" s="1">
        <v>398</v>
      </c>
    </row>
    <row r="311" spans="1:6" x14ac:dyDescent="0.35">
      <c r="A311" s="10">
        <v>46029</v>
      </c>
      <c r="B311" s="1" t="s">
        <v>52</v>
      </c>
      <c r="C311" s="1" t="s">
        <v>53</v>
      </c>
      <c r="D311" s="1">
        <v>0</v>
      </c>
      <c r="E311" s="1">
        <v>0.5</v>
      </c>
      <c r="F311" s="1">
        <v>49</v>
      </c>
    </row>
    <row r="312" spans="1:6" x14ac:dyDescent="0.35">
      <c r="A312" s="10">
        <v>46029</v>
      </c>
      <c r="B312" s="1" t="s">
        <v>54</v>
      </c>
      <c r="C312" s="1" t="s">
        <v>29</v>
      </c>
      <c r="D312" s="1">
        <v>0</v>
      </c>
      <c r="E312" s="1">
        <v>0.2</v>
      </c>
      <c r="F312" s="1">
        <v>188.4</v>
      </c>
    </row>
    <row r="313" spans="1:6" x14ac:dyDescent="0.35">
      <c r="A313" s="10">
        <v>46029</v>
      </c>
      <c r="B313" s="1" t="s">
        <v>6</v>
      </c>
      <c r="C313" s="1" t="s">
        <v>17</v>
      </c>
      <c r="D313" s="1">
        <v>0</v>
      </c>
      <c r="E313" s="1">
        <v>1</v>
      </c>
      <c r="F313" s="1">
        <v>1</v>
      </c>
    </row>
    <row r="314" spans="1:6" x14ac:dyDescent="0.35">
      <c r="A314" s="10">
        <v>46029</v>
      </c>
      <c r="B314" s="1" t="s">
        <v>106</v>
      </c>
      <c r="C314" s="1" t="s">
        <v>19</v>
      </c>
      <c r="D314" s="1">
        <v>0</v>
      </c>
      <c r="E314" s="1">
        <v>14</v>
      </c>
      <c r="F314" s="1">
        <v>-141</v>
      </c>
    </row>
    <row r="315" spans="1:6" x14ac:dyDescent="0.35">
      <c r="A315" s="10">
        <v>46029</v>
      </c>
      <c r="B315" s="1" t="s">
        <v>21</v>
      </c>
      <c r="C315" s="1" t="s">
        <v>22</v>
      </c>
      <c r="D315" s="1">
        <v>0</v>
      </c>
      <c r="E315" s="1">
        <v>3</v>
      </c>
      <c r="F315" s="1">
        <v>465.5</v>
      </c>
    </row>
    <row r="316" spans="1:6" x14ac:dyDescent="0.35">
      <c r="A316" s="10">
        <v>46029</v>
      </c>
      <c r="B316" s="1" t="s">
        <v>23</v>
      </c>
      <c r="C316" s="1" t="s">
        <v>24</v>
      </c>
      <c r="D316" s="1">
        <v>0</v>
      </c>
      <c r="E316" s="1">
        <v>3</v>
      </c>
      <c r="F316" s="1">
        <v>73</v>
      </c>
    </row>
    <row r="317" spans="1:6" x14ac:dyDescent="0.35">
      <c r="A317" s="10">
        <v>46029</v>
      </c>
      <c r="B317" s="1" t="s">
        <v>25</v>
      </c>
      <c r="C317" s="1" t="s">
        <v>17</v>
      </c>
      <c r="D317" s="1">
        <v>0</v>
      </c>
      <c r="E317" s="1">
        <v>1</v>
      </c>
      <c r="F317" s="1">
        <v>81</v>
      </c>
    </row>
    <row r="318" spans="1:6" x14ac:dyDescent="0.35">
      <c r="A318" s="10">
        <v>46029</v>
      </c>
      <c r="B318" s="1" t="s">
        <v>26</v>
      </c>
      <c r="C318" s="1" t="s">
        <v>17</v>
      </c>
      <c r="D318" s="1">
        <v>0</v>
      </c>
      <c r="E318" s="1">
        <v>0.5</v>
      </c>
      <c r="F318" s="1">
        <v>18</v>
      </c>
    </row>
    <row r="319" spans="1:6" x14ac:dyDescent="0.35">
      <c r="A319" s="10">
        <v>46029</v>
      </c>
      <c r="B319" s="1" t="s">
        <v>27</v>
      </c>
      <c r="C319" s="1" t="s">
        <v>19</v>
      </c>
      <c r="D319" s="1">
        <v>0</v>
      </c>
      <c r="E319" s="1">
        <v>1</v>
      </c>
      <c r="F319" s="1">
        <v>285</v>
      </c>
    </row>
    <row r="320" spans="1:6" x14ac:dyDescent="0.35">
      <c r="A320" s="10">
        <v>46029</v>
      </c>
      <c r="B320" s="1" t="s">
        <v>28</v>
      </c>
      <c r="C320" s="1" t="s">
        <v>29</v>
      </c>
      <c r="D320" s="1">
        <v>0</v>
      </c>
      <c r="E320" s="1">
        <v>0.2</v>
      </c>
      <c r="F320" s="1">
        <v>98.2</v>
      </c>
    </row>
    <row r="321" spans="1:6" x14ac:dyDescent="0.35">
      <c r="A321" s="10">
        <v>46029</v>
      </c>
      <c r="B321" s="1" t="s">
        <v>30</v>
      </c>
      <c r="C321" s="1" t="s">
        <v>17</v>
      </c>
      <c r="D321" s="1">
        <v>0</v>
      </c>
      <c r="E321" s="1">
        <v>25</v>
      </c>
      <c r="F321" s="1">
        <v>275</v>
      </c>
    </row>
    <row r="322" spans="1:6" x14ac:dyDescent="0.35">
      <c r="A322" s="10">
        <v>46029</v>
      </c>
      <c r="B322" s="1" t="s">
        <v>31</v>
      </c>
      <c r="C322" s="1" t="s">
        <v>17</v>
      </c>
      <c r="D322" s="1">
        <v>0</v>
      </c>
      <c r="E322" s="1">
        <v>15</v>
      </c>
      <c r="F322" s="1">
        <v>140</v>
      </c>
    </row>
    <row r="323" spans="1:6" x14ac:dyDescent="0.35">
      <c r="A323" s="10">
        <v>46029</v>
      </c>
      <c r="B323" s="1" t="s">
        <v>32</v>
      </c>
      <c r="C323" s="1" t="s">
        <v>17</v>
      </c>
      <c r="D323" s="1">
        <v>0</v>
      </c>
      <c r="E323" s="1">
        <v>15</v>
      </c>
      <c r="F323" s="1">
        <v>296</v>
      </c>
    </row>
    <row r="324" spans="1:6" x14ac:dyDescent="0.35">
      <c r="A324" s="10">
        <v>46029</v>
      </c>
      <c r="B324" s="1" t="s">
        <v>33</v>
      </c>
      <c r="C324" s="1" t="s">
        <v>22</v>
      </c>
      <c r="D324" s="1">
        <v>0</v>
      </c>
      <c r="E324" s="1">
        <v>0.2</v>
      </c>
      <c r="F324" s="1">
        <v>198.3</v>
      </c>
    </row>
    <row r="325" spans="1:6" x14ac:dyDescent="0.35">
      <c r="A325" s="10">
        <v>46029</v>
      </c>
      <c r="B325" s="1" t="s">
        <v>34</v>
      </c>
      <c r="C325" s="1" t="s">
        <v>24</v>
      </c>
      <c r="D325" s="1">
        <v>0</v>
      </c>
      <c r="E325" s="1">
        <v>0</v>
      </c>
      <c r="F325" s="1">
        <v>290</v>
      </c>
    </row>
    <row r="326" spans="1:6" x14ac:dyDescent="0.35">
      <c r="A326" s="10">
        <v>46029</v>
      </c>
      <c r="B326" s="1" t="s">
        <v>35</v>
      </c>
      <c r="C326" s="1" t="s">
        <v>36</v>
      </c>
      <c r="D326" s="1">
        <v>0</v>
      </c>
      <c r="E326" s="1">
        <v>5</v>
      </c>
      <c r="F326" s="1">
        <v>474</v>
      </c>
    </row>
    <row r="327" spans="1:6" x14ac:dyDescent="0.35">
      <c r="A327" s="10">
        <v>46029</v>
      </c>
      <c r="B327" s="1" t="s">
        <v>37</v>
      </c>
      <c r="C327" s="1" t="s">
        <v>22</v>
      </c>
      <c r="D327" s="1">
        <v>0</v>
      </c>
      <c r="E327" s="1">
        <v>1</v>
      </c>
      <c r="F327" s="1">
        <v>41</v>
      </c>
    </row>
    <row r="328" spans="1:6" x14ac:dyDescent="0.35">
      <c r="A328" s="10">
        <v>46029</v>
      </c>
      <c r="B328" s="1" t="s">
        <v>38</v>
      </c>
      <c r="C328" s="1" t="s">
        <v>29</v>
      </c>
      <c r="D328" s="1">
        <v>0</v>
      </c>
      <c r="E328" s="1">
        <v>1.6</v>
      </c>
      <c r="F328" s="1">
        <v>285.59999999999997</v>
      </c>
    </row>
    <row r="329" spans="1:6" x14ac:dyDescent="0.35">
      <c r="A329" s="10">
        <v>46029</v>
      </c>
      <c r="B329" s="1" t="s">
        <v>39</v>
      </c>
      <c r="C329" s="1" t="s">
        <v>29</v>
      </c>
      <c r="D329" s="1">
        <v>0</v>
      </c>
      <c r="E329" s="1">
        <v>0</v>
      </c>
      <c r="F329" s="1">
        <v>300</v>
      </c>
    </row>
    <row r="330" spans="1:6" x14ac:dyDescent="0.35">
      <c r="A330" s="10">
        <v>46029</v>
      </c>
      <c r="B330" s="1" t="s">
        <v>40</v>
      </c>
      <c r="C330" s="1" t="s">
        <v>22</v>
      </c>
      <c r="D330" s="1">
        <v>0</v>
      </c>
      <c r="E330" s="1">
        <v>1.5</v>
      </c>
      <c r="F330" s="1">
        <v>186.5</v>
      </c>
    </row>
    <row r="331" spans="1:6" x14ac:dyDescent="0.35">
      <c r="A331" s="10">
        <v>46029</v>
      </c>
      <c r="B331" s="1" t="s">
        <v>41</v>
      </c>
      <c r="C331" s="1" t="s">
        <v>29</v>
      </c>
      <c r="D331" s="1">
        <v>0</v>
      </c>
      <c r="E331" s="1">
        <v>10</v>
      </c>
      <c r="F331" s="1">
        <v>460</v>
      </c>
    </row>
    <row r="332" spans="1:6" x14ac:dyDescent="0.35">
      <c r="A332" s="10">
        <v>46029</v>
      </c>
      <c r="B332" s="1" t="s">
        <v>42</v>
      </c>
      <c r="C332" s="1" t="s">
        <v>43</v>
      </c>
      <c r="D332" s="1">
        <v>0</v>
      </c>
      <c r="E332" s="1">
        <v>0</v>
      </c>
      <c r="F332" s="1">
        <v>500</v>
      </c>
    </row>
    <row r="333" spans="1:6" x14ac:dyDescent="0.35">
      <c r="A333" s="10">
        <v>46029</v>
      </c>
      <c r="B333" s="1" t="s">
        <v>44</v>
      </c>
      <c r="C333" s="1" t="s">
        <v>45</v>
      </c>
      <c r="D333" s="1">
        <v>0</v>
      </c>
      <c r="E333" s="1">
        <v>1</v>
      </c>
      <c r="F333" s="1">
        <v>388.5</v>
      </c>
    </row>
    <row r="334" spans="1:6" x14ac:dyDescent="0.35">
      <c r="A334" s="10">
        <v>46029</v>
      </c>
      <c r="B334" s="1" t="s">
        <v>46</v>
      </c>
      <c r="C334" s="1" t="s">
        <v>17</v>
      </c>
      <c r="D334" s="1">
        <v>0</v>
      </c>
      <c r="E334" s="1">
        <v>14</v>
      </c>
      <c r="F334" s="1">
        <v>-126</v>
      </c>
    </row>
    <row r="335" spans="1:6" x14ac:dyDescent="0.35">
      <c r="A335" s="10">
        <v>46029</v>
      </c>
      <c r="B335" s="1" t="s">
        <v>47</v>
      </c>
      <c r="C335" s="1" t="s">
        <v>19</v>
      </c>
      <c r="D335" s="1">
        <v>0</v>
      </c>
      <c r="E335" s="1">
        <v>5</v>
      </c>
      <c r="F335" s="1">
        <v>455</v>
      </c>
    </row>
    <row r="336" spans="1:6" x14ac:dyDescent="0.35">
      <c r="A336" s="10">
        <v>46029</v>
      </c>
      <c r="B336" s="1" t="s">
        <v>48</v>
      </c>
      <c r="C336" s="1" t="s">
        <v>24</v>
      </c>
      <c r="D336" s="1">
        <v>0</v>
      </c>
      <c r="E336" s="1">
        <v>4</v>
      </c>
      <c r="F336" s="1">
        <v>988</v>
      </c>
    </row>
    <row r="337" spans="1:6" x14ac:dyDescent="0.35">
      <c r="A337" s="10">
        <v>46029</v>
      </c>
      <c r="B337" s="1" t="s">
        <v>49</v>
      </c>
      <c r="C337" s="1" t="s">
        <v>24</v>
      </c>
      <c r="D337" s="1">
        <v>0</v>
      </c>
      <c r="E337" s="1">
        <v>0</v>
      </c>
      <c r="F337" s="1">
        <v>5000</v>
      </c>
    </row>
    <row r="338" spans="1:6" x14ac:dyDescent="0.35">
      <c r="A338" s="10">
        <v>46029</v>
      </c>
      <c r="B338" s="1" t="s">
        <v>50</v>
      </c>
      <c r="C338" s="1" t="s">
        <v>19</v>
      </c>
      <c r="D338" s="1">
        <v>0</v>
      </c>
      <c r="E338" s="1">
        <v>0</v>
      </c>
      <c r="F338" s="1">
        <v>500</v>
      </c>
    </row>
    <row r="339" spans="1:6" x14ac:dyDescent="0.35">
      <c r="A339" s="10">
        <v>46029</v>
      </c>
      <c r="B339" s="1" t="s">
        <v>51</v>
      </c>
      <c r="C339" s="1" t="s">
        <v>22</v>
      </c>
      <c r="D339" s="1">
        <v>0</v>
      </c>
      <c r="E339" s="1">
        <v>0</v>
      </c>
      <c r="F339" s="1">
        <v>398</v>
      </c>
    </row>
    <row r="340" spans="1:6" x14ac:dyDescent="0.35">
      <c r="A340" s="10">
        <v>46029</v>
      </c>
      <c r="B340" s="1" t="s">
        <v>52</v>
      </c>
      <c r="C340" s="1" t="s">
        <v>53</v>
      </c>
      <c r="D340" s="1">
        <v>0</v>
      </c>
      <c r="E340" s="1">
        <v>0</v>
      </c>
      <c r="F340" s="1">
        <v>49</v>
      </c>
    </row>
    <row r="341" spans="1:6" x14ac:dyDescent="0.35">
      <c r="A341" s="10">
        <v>46029</v>
      </c>
      <c r="B341" s="1" t="s">
        <v>54</v>
      </c>
      <c r="C341" s="1" t="s">
        <v>29</v>
      </c>
      <c r="D341" s="1">
        <v>0</v>
      </c>
      <c r="E341" s="1">
        <v>0.2</v>
      </c>
      <c r="F341" s="1">
        <v>188.20000000000002</v>
      </c>
    </row>
    <row r="342" spans="1:6" x14ac:dyDescent="0.35">
      <c r="A342" s="10">
        <v>46030</v>
      </c>
      <c r="B342" s="1" t="s">
        <v>62</v>
      </c>
      <c r="C342" s="1" t="s">
        <v>17</v>
      </c>
      <c r="D342" s="1">
        <v>0</v>
      </c>
      <c r="E342" s="1">
        <v>2</v>
      </c>
      <c r="F342" s="1">
        <v>8</v>
      </c>
    </row>
    <row r="343" spans="1:6" x14ac:dyDescent="0.35">
      <c r="A343" s="10">
        <v>46030</v>
      </c>
      <c r="B343" s="1" t="s">
        <v>106</v>
      </c>
      <c r="C343" s="1" t="s">
        <v>19</v>
      </c>
      <c r="D343" s="1">
        <v>0</v>
      </c>
      <c r="E343" s="1">
        <v>2</v>
      </c>
      <c r="F343" s="1">
        <v>-143</v>
      </c>
    </row>
    <row r="344" spans="1:6" x14ac:dyDescent="0.35">
      <c r="A344" s="10">
        <v>46030</v>
      </c>
      <c r="B344" s="1" t="s">
        <v>21</v>
      </c>
      <c r="C344" s="1" t="s">
        <v>22</v>
      </c>
      <c r="D344" s="1">
        <v>0</v>
      </c>
      <c r="E344" s="1">
        <v>0.2</v>
      </c>
      <c r="F344" s="1">
        <v>465.3</v>
      </c>
    </row>
    <row r="345" spans="1:6" x14ac:dyDescent="0.35">
      <c r="A345" s="10">
        <v>46030</v>
      </c>
      <c r="B345" s="1" t="s">
        <v>23</v>
      </c>
      <c r="C345" s="1" t="s">
        <v>24</v>
      </c>
      <c r="D345" s="1">
        <v>0</v>
      </c>
      <c r="E345" s="1">
        <v>1</v>
      </c>
      <c r="F345" s="1">
        <v>72</v>
      </c>
    </row>
    <row r="346" spans="1:6" x14ac:dyDescent="0.35">
      <c r="A346" s="10">
        <v>46030</v>
      </c>
      <c r="B346" s="1" t="s">
        <v>31</v>
      </c>
      <c r="C346" s="1" t="s">
        <v>17</v>
      </c>
      <c r="D346" s="1">
        <v>0</v>
      </c>
      <c r="E346" s="1">
        <v>0</v>
      </c>
      <c r="F346" s="1">
        <v>140</v>
      </c>
    </row>
    <row r="347" spans="1:6" x14ac:dyDescent="0.35">
      <c r="A347" s="10">
        <v>46030</v>
      </c>
      <c r="B347" s="1" t="s">
        <v>33</v>
      </c>
      <c r="C347" s="1" t="s">
        <v>22</v>
      </c>
      <c r="D347" s="1">
        <v>0</v>
      </c>
      <c r="E347" s="1">
        <v>0.1</v>
      </c>
      <c r="F347" s="1">
        <v>198.20000000000002</v>
      </c>
    </row>
    <row r="348" spans="1:6" x14ac:dyDescent="0.35">
      <c r="A348" s="10">
        <v>46030</v>
      </c>
      <c r="B348" s="1" t="s">
        <v>34</v>
      </c>
      <c r="C348" s="1" t="s">
        <v>24</v>
      </c>
      <c r="D348" s="1">
        <v>0</v>
      </c>
      <c r="E348" s="1">
        <v>1</v>
      </c>
      <c r="F348" s="1">
        <v>289</v>
      </c>
    </row>
    <row r="349" spans="1:6" x14ac:dyDescent="0.35">
      <c r="A349" s="10">
        <v>46030</v>
      </c>
      <c r="B349" s="1" t="s">
        <v>40</v>
      </c>
      <c r="C349" s="1" t="s">
        <v>22</v>
      </c>
      <c r="D349" s="1">
        <v>0</v>
      </c>
      <c r="E349" s="1">
        <v>0.5</v>
      </c>
      <c r="F349" s="1">
        <v>186</v>
      </c>
    </row>
    <row r="350" spans="1:6" x14ac:dyDescent="0.35">
      <c r="A350" s="10">
        <v>46030</v>
      </c>
      <c r="B350" s="1" t="s">
        <v>44</v>
      </c>
      <c r="C350" s="1" t="s">
        <v>45</v>
      </c>
      <c r="D350" s="1">
        <v>0</v>
      </c>
      <c r="E350" s="1">
        <v>0.2</v>
      </c>
      <c r="F350" s="1">
        <v>388.3</v>
      </c>
    </row>
    <row r="351" spans="1:6" x14ac:dyDescent="0.35">
      <c r="A351" s="10">
        <v>46030</v>
      </c>
      <c r="B351" s="1" t="s">
        <v>46</v>
      </c>
      <c r="C351" s="1" t="s">
        <v>17</v>
      </c>
      <c r="D351" s="1">
        <v>0</v>
      </c>
      <c r="E351" s="1">
        <v>10</v>
      </c>
      <c r="F351" s="1">
        <v>-136</v>
      </c>
    </row>
    <row r="352" spans="1:6" x14ac:dyDescent="0.35">
      <c r="A352" s="10">
        <v>46030</v>
      </c>
      <c r="B352" s="1" t="s">
        <v>47</v>
      </c>
      <c r="C352" s="1" t="s">
        <v>19</v>
      </c>
      <c r="D352" s="1">
        <v>0</v>
      </c>
      <c r="E352" s="1">
        <v>1</v>
      </c>
      <c r="F352" s="1">
        <v>454</v>
      </c>
    </row>
    <row r="353" spans="1:6" x14ac:dyDescent="0.35">
      <c r="A353" s="10">
        <v>46030</v>
      </c>
      <c r="B353" s="1" t="s">
        <v>54</v>
      </c>
      <c r="C353" s="1" t="s">
        <v>29</v>
      </c>
      <c r="D353" s="1">
        <v>0</v>
      </c>
      <c r="E353" s="1">
        <v>0.2</v>
      </c>
      <c r="F353" s="1">
        <v>188</v>
      </c>
    </row>
    <row r="354" spans="1:6" x14ac:dyDescent="0.35">
      <c r="A354" s="10">
        <v>46030</v>
      </c>
      <c r="B354" s="1" t="s">
        <v>63</v>
      </c>
      <c r="C354" s="1" t="s">
        <v>17</v>
      </c>
      <c r="D354" s="1">
        <v>0</v>
      </c>
      <c r="E354" s="1">
        <v>2</v>
      </c>
      <c r="F354" s="1">
        <v>8</v>
      </c>
    </row>
    <row r="355" spans="1:6" x14ac:dyDescent="0.35">
      <c r="A355" s="10">
        <v>46030</v>
      </c>
      <c r="B355" s="1" t="s">
        <v>106</v>
      </c>
      <c r="C355" s="1" t="s">
        <v>19</v>
      </c>
      <c r="D355" s="1">
        <v>0</v>
      </c>
      <c r="E355" s="1">
        <v>6</v>
      </c>
      <c r="F355" s="1">
        <v>-149</v>
      </c>
    </row>
    <row r="356" spans="1:6" x14ac:dyDescent="0.35">
      <c r="A356" s="10">
        <v>46030</v>
      </c>
      <c r="B356" s="1" t="s">
        <v>21</v>
      </c>
      <c r="C356" s="1" t="s">
        <v>22</v>
      </c>
      <c r="D356" s="1">
        <v>0</v>
      </c>
      <c r="E356" s="1">
        <v>1</v>
      </c>
      <c r="F356" s="1">
        <v>464.3</v>
      </c>
    </row>
    <row r="357" spans="1:6" x14ac:dyDescent="0.35">
      <c r="A357" s="10">
        <v>46030</v>
      </c>
      <c r="B357" s="1" t="s">
        <v>23</v>
      </c>
      <c r="C357" s="1" t="s">
        <v>24</v>
      </c>
      <c r="D357" s="1">
        <v>0</v>
      </c>
      <c r="E357" s="1">
        <v>2</v>
      </c>
      <c r="F357" s="1">
        <v>70</v>
      </c>
    </row>
    <row r="358" spans="1:6" x14ac:dyDescent="0.35">
      <c r="A358" s="10">
        <v>46030</v>
      </c>
      <c r="B358" s="1" t="s">
        <v>31</v>
      </c>
      <c r="C358" s="1" t="s">
        <v>17</v>
      </c>
      <c r="D358" s="1">
        <v>0</v>
      </c>
      <c r="E358" s="1">
        <v>20</v>
      </c>
      <c r="F358" s="1">
        <v>120</v>
      </c>
    </row>
    <row r="359" spans="1:6" x14ac:dyDescent="0.35">
      <c r="A359" s="10">
        <v>46030</v>
      </c>
      <c r="B359" s="1" t="s">
        <v>33</v>
      </c>
      <c r="C359" s="1" t="s">
        <v>22</v>
      </c>
      <c r="D359" s="1">
        <v>0</v>
      </c>
      <c r="E359" s="1">
        <v>0.1</v>
      </c>
      <c r="F359" s="1">
        <v>198.1</v>
      </c>
    </row>
    <row r="360" spans="1:6" x14ac:dyDescent="0.35">
      <c r="A360" s="10">
        <v>46030</v>
      </c>
      <c r="B360" s="1" t="s">
        <v>34</v>
      </c>
      <c r="C360" s="1" t="s">
        <v>24</v>
      </c>
      <c r="D360" s="1">
        <v>0</v>
      </c>
      <c r="E360" s="1">
        <v>1</v>
      </c>
      <c r="F360" s="1">
        <v>288</v>
      </c>
    </row>
    <row r="361" spans="1:6" x14ac:dyDescent="0.35">
      <c r="A361" s="10">
        <v>46030</v>
      </c>
      <c r="B361" s="1" t="s">
        <v>40</v>
      </c>
      <c r="C361" s="1" t="s">
        <v>22</v>
      </c>
      <c r="D361" s="1">
        <v>0</v>
      </c>
      <c r="E361" s="1">
        <v>0.5</v>
      </c>
      <c r="F361" s="1">
        <v>185.5</v>
      </c>
    </row>
    <row r="362" spans="1:6" x14ac:dyDescent="0.35">
      <c r="A362" s="10">
        <v>46030</v>
      </c>
      <c r="B362" s="1" t="s">
        <v>44</v>
      </c>
      <c r="C362" s="1" t="s">
        <v>45</v>
      </c>
      <c r="D362" s="1">
        <v>0</v>
      </c>
      <c r="E362" s="1">
        <v>0.5</v>
      </c>
      <c r="F362" s="1">
        <v>387.8</v>
      </c>
    </row>
    <row r="363" spans="1:6" x14ac:dyDescent="0.35">
      <c r="A363" s="10">
        <v>46030</v>
      </c>
      <c r="B363" s="1" t="s">
        <v>46</v>
      </c>
      <c r="C363" s="1" t="s">
        <v>17</v>
      </c>
      <c r="D363" s="1">
        <v>0</v>
      </c>
      <c r="E363" s="1">
        <v>10</v>
      </c>
      <c r="F363" s="1">
        <v>-146</v>
      </c>
    </row>
    <row r="364" spans="1:6" x14ac:dyDescent="0.35">
      <c r="A364" s="10">
        <v>46030</v>
      </c>
      <c r="B364" s="1" t="s">
        <v>47</v>
      </c>
      <c r="C364" s="1" t="s">
        <v>19</v>
      </c>
      <c r="D364" s="1">
        <v>0</v>
      </c>
      <c r="E364" s="1">
        <v>4</v>
      </c>
      <c r="F364" s="1">
        <v>450</v>
      </c>
    </row>
    <row r="365" spans="1:6" x14ac:dyDescent="0.35">
      <c r="A365" s="10">
        <v>46030</v>
      </c>
      <c r="B365" s="1" t="s">
        <v>54</v>
      </c>
      <c r="C365" s="1" t="s">
        <v>29</v>
      </c>
      <c r="D365" s="1">
        <v>0</v>
      </c>
      <c r="E365" s="1">
        <v>0.2</v>
      </c>
      <c r="F365" s="1">
        <v>187.8</v>
      </c>
    </row>
    <row r="366" spans="1:6" x14ac:dyDescent="0.35">
      <c r="A366" s="10"/>
    </row>
    <row r="367" spans="1:6" x14ac:dyDescent="0.35">
      <c r="A367" s="10"/>
    </row>
    <row r="368" spans="1:6" x14ac:dyDescent="0.35">
      <c r="A368" s="10"/>
    </row>
    <row r="369" spans="1:1" x14ac:dyDescent="0.35">
      <c r="A369" s="10"/>
    </row>
    <row r="370" spans="1:1" x14ac:dyDescent="0.35">
      <c r="A370" s="10"/>
    </row>
    <row r="371" spans="1:1" x14ac:dyDescent="0.35">
      <c r="A371" s="10"/>
    </row>
    <row r="372" spans="1:1" x14ac:dyDescent="0.35">
      <c r="A372" s="10"/>
    </row>
    <row r="373" spans="1:1" x14ac:dyDescent="0.35">
      <c r="A373" s="10"/>
    </row>
    <row r="374" spans="1:1" x14ac:dyDescent="0.35">
      <c r="A374" s="10"/>
    </row>
    <row r="375" spans="1:1" x14ac:dyDescent="0.35">
      <c r="A375" s="10"/>
    </row>
    <row r="376" spans="1:1" x14ac:dyDescent="0.35">
      <c r="A376" s="10"/>
    </row>
    <row r="377" spans="1:1" x14ac:dyDescent="0.35">
      <c r="A377" s="10"/>
    </row>
    <row r="378" spans="1:1" x14ac:dyDescent="0.35">
      <c r="A378" s="10"/>
    </row>
    <row r="379" spans="1:1" x14ac:dyDescent="0.35">
      <c r="A379" s="10"/>
    </row>
    <row r="380" spans="1:1" x14ac:dyDescent="0.35">
      <c r="A380" s="10"/>
    </row>
    <row r="381" spans="1:1" x14ac:dyDescent="0.35">
      <c r="A381" s="10"/>
    </row>
    <row r="382" spans="1:1" x14ac:dyDescent="0.35">
      <c r="A382" s="10"/>
    </row>
    <row r="383" spans="1:1" x14ac:dyDescent="0.35">
      <c r="A383" s="10"/>
    </row>
    <row r="384" spans="1:1" x14ac:dyDescent="0.35">
      <c r="A384" s="10"/>
    </row>
    <row r="385" spans="1:1" x14ac:dyDescent="0.35">
      <c r="A385" s="10"/>
    </row>
    <row r="386" spans="1:1" x14ac:dyDescent="0.35">
      <c r="A386" s="10"/>
    </row>
    <row r="387" spans="1:1" x14ac:dyDescent="0.35">
      <c r="A387" s="10"/>
    </row>
    <row r="388" spans="1:1" x14ac:dyDescent="0.35">
      <c r="A388" s="10"/>
    </row>
    <row r="389" spans="1:1" x14ac:dyDescent="0.35">
      <c r="A389" s="10"/>
    </row>
    <row r="390" spans="1:1" x14ac:dyDescent="0.35">
      <c r="A390" s="10"/>
    </row>
    <row r="391" spans="1:1" x14ac:dyDescent="0.35">
      <c r="A391" s="10"/>
    </row>
    <row r="392" spans="1:1" x14ac:dyDescent="0.35">
      <c r="A392" s="10"/>
    </row>
    <row r="393" spans="1:1" x14ac:dyDescent="0.35">
      <c r="A393" s="10"/>
    </row>
    <row r="394" spans="1:1" x14ac:dyDescent="0.35">
      <c r="A394" s="10"/>
    </row>
    <row r="395" spans="1:1" x14ac:dyDescent="0.35">
      <c r="A395" s="10"/>
    </row>
    <row r="396" spans="1:1" x14ac:dyDescent="0.35">
      <c r="A396" s="10"/>
    </row>
    <row r="397" spans="1:1" x14ac:dyDescent="0.35">
      <c r="A397" s="10"/>
    </row>
    <row r="398" spans="1:1" x14ac:dyDescent="0.35">
      <c r="A398" s="10"/>
    </row>
    <row r="399" spans="1:1" x14ac:dyDescent="0.35">
      <c r="A399" s="10"/>
    </row>
    <row r="400" spans="1:1" x14ac:dyDescent="0.35">
      <c r="A400" s="10"/>
    </row>
    <row r="401" spans="1:1" x14ac:dyDescent="0.35">
      <c r="A401" s="10"/>
    </row>
    <row r="402" spans="1:1" x14ac:dyDescent="0.35">
      <c r="A402" s="10"/>
    </row>
    <row r="403" spans="1:1" x14ac:dyDescent="0.35">
      <c r="A403" s="10"/>
    </row>
    <row r="404" spans="1:1" x14ac:dyDescent="0.35">
      <c r="A404" s="10"/>
    </row>
    <row r="405" spans="1:1" x14ac:dyDescent="0.35">
      <c r="A405" s="10"/>
    </row>
    <row r="406" spans="1:1" x14ac:dyDescent="0.35">
      <c r="A406" s="10"/>
    </row>
    <row r="407" spans="1:1" x14ac:dyDescent="0.35">
      <c r="A407" s="10"/>
    </row>
    <row r="408" spans="1:1" x14ac:dyDescent="0.35">
      <c r="A408" s="10"/>
    </row>
    <row r="409" spans="1:1" x14ac:dyDescent="0.35">
      <c r="A409" s="10"/>
    </row>
    <row r="410" spans="1:1" x14ac:dyDescent="0.35">
      <c r="A410" s="10"/>
    </row>
    <row r="411" spans="1:1" x14ac:dyDescent="0.35">
      <c r="A411" s="10"/>
    </row>
    <row r="412" spans="1:1" x14ac:dyDescent="0.35">
      <c r="A412" s="10"/>
    </row>
    <row r="413" spans="1:1" x14ac:dyDescent="0.35">
      <c r="A413" s="10"/>
    </row>
    <row r="414" spans="1:1" x14ac:dyDescent="0.35">
      <c r="A414" s="10"/>
    </row>
    <row r="415" spans="1:1" x14ac:dyDescent="0.35">
      <c r="A415" s="10"/>
    </row>
    <row r="416" spans="1:1" x14ac:dyDescent="0.35">
      <c r="A416" s="10"/>
    </row>
    <row r="417" spans="1:1" x14ac:dyDescent="0.35">
      <c r="A417" s="10"/>
    </row>
    <row r="418" spans="1:1" x14ac:dyDescent="0.35">
      <c r="A418" s="10"/>
    </row>
    <row r="419" spans="1:1" x14ac:dyDescent="0.35">
      <c r="A419" s="10"/>
    </row>
    <row r="420" spans="1:1" x14ac:dyDescent="0.35">
      <c r="A420" s="10"/>
    </row>
    <row r="421" spans="1:1" x14ac:dyDescent="0.35">
      <c r="A421" s="10"/>
    </row>
    <row r="422" spans="1:1" x14ac:dyDescent="0.35">
      <c r="A422" s="10"/>
    </row>
    <row r="423" spans="1:1" x14ac:dyDescent="0.35">
      <c r="A423" s="10"/>
    </row>
    <row r="424" spans="1:1" x14ac:dyDescent="0.35">
      <c r="A424" s="10"/>
    </row>
    <row r="425" spans="1:1" x14ac:dyDescent="0.35">
      <c r="A425" s="10"/>
    </row>
    <row r="426" spans="1:1" x14ac:dyDescent="0.35">
      <c r="A426" s="10"/>
    </row>
    <row r="427" spans="1:1" x14ac:dyDescent="0.35">
      <c r="A427" s="10"/>
    </row>
    <row r="428" spans="1:1" x14ac:dyDescent="0.35">
      <c r="A428" s="10"/>
    </row>
    <row r="429" spans="1:1" x14ac:dyDescent="0.35">
      <c r="A429" s="10"/>
    </row>
    <row r="430" spans="1:1" x14ac:dyDescent="0.35">
      <c r="A430" s="10"/>
    </row>
    <row r="431" spans="1:1" x14ac:dyDescent="0.35">
      <c r="A431" s="10"/>
    </row>
    <row r="432" spans="1:1" x14ac:dyDescent="0.35">
      <c r="A432" s="10"/>
    </row>
    <row r="433" spans="1:1" x14ac:dyDescent="0.35">
      <c r="A433" s="10"/>
    </row>
    <row r="434" spans="1:1" x14ac:dyDescent="0.35">
      <c r="A434" s="10"/>
    </row>
    <row r="435" spans="1:1" x14ac:dyDescent="0.35">
      <c r="A435" s="10"/>
    </row>
    <row r="436" spans="1:1" x14ac:dyDescent="0.35">
      <c r="A436" s="10"/>
    </row>
    <row r="437" spans="1:1" x14ac:dyDescent="0.35">
      <c r="A437" s="10"/>
    </row>
    <row r="438" spans="1:1" x14ac:dyDescent="0.35">
      <c r="A438" s="10"/>
    </row>
    <row r="439" spans="1:1" x14ac:dyDescent="0.35">
      <c r="A439" s="10"/>
    </row>
    <row r="440" spans="1:1" x14ac:dyDescent="0.35">
      <c r="A440" s="10"/>
    </row>
    <row r="441" spans="1:1" x14ac:dyDescent="0.35">
      <c r="A441" s="10"/>
    </row>
    <row r="442" spans="1:1" x14ac:dyDescent="0.35">
      <c r="A442" s="10"/>
    </row>
    <row r="443" spans="1:1" x14ac:dyDescent="0.35">
      <c r="A443" s="10"/>
    </row>
    <row r="444" spans="1:1" x14ac:dyDescent="0.35">
      <c r="A444" s="10"/>
    </row>
    <row r="445" spans="1:1" x14ac:dyDescent="0.35">
      <c r="A445" s="10"/>
    </row>
    <row r="446" spans="1:1" x14ac:dyDescent="0.35">
      <c r="A446" s="10"/>
    </row>
    <row r="447" spans="1:1" x14ac:dyDescent="0.35">
      <c r="A447" s="10"/>
    </row>
    <row r="448" spans="1:1" x14ac:dyDescent="0.35">
      <c r="A448" s="10"/>
    </row>
    <row r="449" spans="1:1" x14ac:dyDescent="0.35">
      <c r="A449" s="10"/>
    </row>
    <row r="450" spans="1:1" x14ac:dyDescent="0.35">
      <c r="A450" s="10"/>
    </row>
    <row r="451" spans="1:1" x14ac:dyDescent="0.35">
      <c r="A451" s="10"/>
    </row>
    <row r="452" spans="1:1" x14ac:dyDescent="0.35">
      <c r="A452" s="10"/>
    </row>
    <row r="453" spans="1:1" x14ac:dyDescent="0.35">
      <c r="A453" s="10"/>
    </row>
    <row r="454" spans="1:1" x14ac:dyDescent="0.35">
      <c r="A454" s="10"/>
    </row>
    <row r="455" spans="1:1" x14ac:dyDescent="0.35">
      <c r="A455" s="10"/>
    </row>
    <row r="456" spans="1:1" x14ac:dyDescent="0.35">
      <c r="A456" s="10"/>
    </row>
    <row r="457" spans="1:1" x14ac:dyDescent="0.35">
      <c r="A457" s="10"/>
    </row>
    <row r="458" spans="1:1" x14ac:dyDescent="0.35">
      <c r="A458" s="10"/>
    </row>
    <row r="459" spans="1:1" x14ac:dyDescent="0.35">
      <c r="A459" s="10"/>
    </row>
    <row r="460" spans="1:1" x14ac:dyDescent="0.35">
      <c r="A460" s="10"/>
    </row>
    <row r="461" spans="1:1" x14ac:dyDescent="0.35">
      <c r="A461" s="10"/>
    </row>
    <row r="462" spans="1:1" x14ac:dyDescent="0.35">
      <c r="A462" s="10"/>
    </row>
    <row r="463" spans="1:1" x14ac:dyDescent="0.35">
      <c r="A463" s="10"/>
    </row>
    <row r="464" spans="1:1" x14ac:dyDescent="0.35">
      <c r="A464" s="10"/>
    </row>
    <row r="465" spans="1:1" x14ac:dyDescent="0.35">
      <c r="A465" s="10"/>
    </row>
    <row r="466" spans="1:1" x14ac:dyDescent="0.35">
      <c r="A466" s="10"/>
    </row>
    <row r="467" spans="1:1" x14ac:dyDescent="0.35">
      <c r="A467" s="10"/>
    </row>
    <row r="468" spans="1:1" x14ac:dyDescent="0.35">
      <c r="A468" s="10"/>
    </row>
    <row r="469" spans="1:1" x14ac:dyDescent="0.35">
      <c r="A469" s="10"/>
    </row>
    <row r="470" spans="1:1" x14ac:dyDescent="0.35">
      <c r="A470" s="10"/>
    </row>
    <row r="471" spans="1:1" x14ac:dyDescent="0.35">
      <c r="A471" s="10"/>
    </row>
    <row r="472" spans="1:1" x14ac:dyDescent="0.35">
      <c r="A472" s="10"/>
    </row>
    <row r="473" spans="1:1" x14ac:dyDescent="0.35">
      <c r="A473" s="10"/>
    </row>
    <row r="474" spans="1:1" x14ac:dyDescent="0.35">
      <c r="A474" s="10"/>
    </row>
    <row r="475" spans="1:1" x14ac:dyDescent="0.35">
      <c r="A475" s="10"/>
    </row>
    <row r="476" spans="1:1" x14ac:dyDescent="0.35">
      <c r="A476" s="10"/>
    </row>
    <row r="477" spans="1:1" x14ac:dyDescent="0.35">
      <c r="A477" s="10"/>
    </row>
    <row r="478" spans="1:1" x14ac:dyDescent="0.35">
      <c r="A478" s="10"/>
    </row>
    <row r="479" spans="1:1" x14ac:dyDescent="0.35">
      <c r="A479" s="10"/>
    </row>
    <row r="480" spans="1:1" x14ac:dyDescent="0.35">
      <c r="A480" s="10"/>
    </row>
    <row r="481" spans="1:1" x14ac:dyDescent="0.35">
      <c r="A481" s="10"/>
    </row>
    <row r="482" spans="1:1" x14ac:dyDescent="0.35">
      <c r="A482" s="10"/>
    </row>
    <row r="483" spans="1:1" x14ac:dyDescent="0.35">
      <c r="A483" s="10"/>
    </row>
    <row r="484" spans="1:1" x14ac:dyDescent="0.35">
      <c r="A484" s="10"/>
    </row>
    <row r="485" spans="1:1" x14ac:dyDescent="0.35">
      <c r="A485" s="10"/>
    </row>
    <row r="486" spans="1:1" x14ac:dyDescent="0.35">
      <c r="A486" s="10"/>
    </row>
    <row r="487" spans="1:1" x14ac:dyDescent="0.35">
      <c r="A487" s="10"/>
    </row>
    <row r="488" spans="1:1" x14ac:dyDescent="0.35">
      <c r="A488" s="10"/>
    </row>
    <row r="489" spans="1:1" x14ac:dyDescent="0.35">
      <c r="A489" s="10"/>
    </row>
    <row r="490" spans="1:1" x14ac:dyDescent="0.35">
      <c r="A490" s="10"/>
    </row>
    <row r="491" spans="1:1" x14ac:dyDescent="0.35">
      <c r="A491" s="10"/>
    </row>
    <row r="492" spans="1:1" x14ac:dyDescent="0.35">
      <c r="A492" s="10"/>
    </row>
    <row r="493" spans="1:1" x14ac:dyDescent="0.35">
      <c r="A493" s="10"/>
    </row>
    <row r="494" spans="1:1" x14ac:dyDescent="0.35">
      <c r="A494" s="10"/>
    </row>
    <row r="495" spans="1:1" x14ac:dyDescent="0.35">
      <c r="A495" s="10"/>
    </row>
    <row r="496" spans="1:1" x14ac:dyDescent="0.35">
      <c r="A496" s="10"/>
    </row>
    <row r="497" spans="1:1" x14ac:dyDescent="0.35">
      <c r="A497" s="10"/>
    </row>
    <row r="498" spans="1:1" x14ac:dyDescent="0.35">
      <c r="A498" s="10"/>
    </row>
    <row r="499" spans="1:1" x14ac:dyDescent="0.35">
      <c r="A499" s="10"/>
    </row>
    <row r="500" spans="1:1" x14ac:dyDescent="0.35">
      <c r="A500" s="10"/>
    </row>
    <row r="501" spans="1:1" x14ac:dyDescent="0.35">
      <c r="A501" s="10"/>
    </row>
    <row r="502" spans="1:1" x14ac:dyDescent="0.35">
      <c r="A502" s="10"/>
    </row>
    <row r="503" spans="1:1" x14ac:dyDescent="0.35">
      <c r="A503" s="10"/>
    </row>
    <row r="504" spans="1:1" x14ac:dyDescent="0.35">
      <c r="A504" s="10"/>
    </row>
    <row r="505" spans="1:1" x14ac:dyDescent="0.35">
      <c r="A505" s="10"/>
    </row>
    <row r="506" spans="1:1" x14ac:dyDescent="0.35">
      <c r="A506" s="10"/>
    </row>
    <row r="507" spans="1:1" x14ac:dyDescent="0.35">
      <c r="A507" s="10"/>
    </row>
    <row r="508" spans="1:1" x14ac:dyDescent="0.35">
      <c r="A508" s="10"/>
    </row>
    <row r="509" spans="1:1" x14ac:dyDescent="0.35">
      <c r="A509" s="10"/>
    </row>
    <row r="510" spans="1:1" x14ac:dyDescent="0.35">
      <c r="A510" s="10"/>
    </row>
    <row r="511" spans="1:1" x14ac:dyDescent="0.35">
      <c r="A511" s="10"/>
    </row>
    <row r="512" spans="1:1" x14ac:dyDescent="0.35">
      <c r="A512" s="10"/>
    </row>
    <row r="513" spans="1:1" x14ac:dyDescent="0.35">
      <c r="A513" s="10"/>
    </row>
    <row r="514" spans="1:1" x14ac:dyDescent="0.35">
      <c r="A514" s="10"/>
    </row>
    <row r="515" spans="1:1" x14ac:dyDescent="0.35">
      <c r="A515" s="10"/>
    </row>
    <row r="516" spans="1:1" x14ac:dyDescent="0.35">
      <c r="A516" s="10"/>
    </row>
    <row r="517" spans="1:1" x14ac:dyDescent="0.35">
      <c r="A517" s="10"/>
    </row>
    <row r="518" spans="1:1" x14ac:dyDescent="0.35">
      <c r="A518" s="10"/>
    </row>
    <row r="519" spans="1:1" x14ac:dyDescent="0.35">
      <c r="A519" s="10"/>
    </row>
    <row r="520" spans="1:1" x14ac:dyDescent="0.35">
      <c r="A520" s="10"/>
    </row>
    <row r="521" spans="1:1" x14ac:dyDescent="0.35">
      <c r="A521" s="10"/>
    </row>
    <row r="522" spans="1:1" x14ac:dyDescent="0.35">
      <c r="A522" s="10"/>
    </row>
    <row r="523" spans="1:1" x14ac:dyDescent="0.35">
      <c r="A523" s="10"/>
    </row>
    <row r="524" spans="1:1" x14ac:dyDescent="0.35">
      <c r="A524" s="10"/>
    </row>
    <row r="525" spans="1:1" x14ac:dyDescent="0.35">
      <c r="A525" s="10"/>
    </row>
    <row r="526" spans="1:1" x14ac:dyDescent="0.35">
      <c r="A526" s="10"/>
    </row>
    <row r="527" spans="1:1" x14ac:dyDescent="0.35">
      <c r="A527" s="10"/>
    </row>
    <row r="528" spans="1:1" x14ac:dyDescent="0.35">
      <c r="A528" s="10"/>
    </row>
    <row r="529" spans="1:1" x14ac:dyDescent="0.35">
      <c r="A529" s="10"/>
    </row>
    <row r="530" spans="1:1" x14ac:dyDescent="0.35">
      <c r="A530" s="10"/>
    </row>
    <row r="531" spans="1:1" x14ac:dyDescent="0.35">
      <c r="A531" s="10"/>
    </row>
    <row r="532" spans="1:1" x14ac:dyDescent="0.35">
      <c r="A532" s="10"/>
    </row>
    <row r="533" spans="1:1" x14ac:dyDescent="0.35">
      <c r="A533" s="10"/>
    </row>
    <row r="534" spans="1:1" x14ac:dyDescent="0.35">
      <c r="A534" s="10"/>
    </row>
    <row r="535" spans="1:1" x14ac:dyDescent="0.35">
      <c r="A535" s="10"/>
    </row>
    <row r="536" spans="1:1" x14ac:dyDescent="0.35">
      <c r="A536" s="10"/>
    </row>
    <row r="537" spans="1:1" x14ac:dyDescent="0.35">
      <c r="A537" s="10"/>
    </row>
    <row r="538" spans="1:1" x14ac:dyDescent="0.35">
      <c r="A538" s="10"/>
    </row>
    <row r="539" spans="1:1" x14ac:dyDescent="0.35">
      <c r="A539" s="10"/>
    </row>
    <row r="540" spans="1:1" x14ac:dyDescent="0.35">
      <c r="A540" s="10"/>
    </row>
    <row r="541" spans="1:1" x14ac:dyDescent="0.35">
      <c r="A541" s="10"/>
    </row>
    <row r="542" spans="1:1" x14ac:dyDescent="0.35">
      <c r="A542" s="10"/>
    </row>
    <row r="543" spans="1:1" x14ac:dyDescent="0.35">
      <c r="A543" s="10"/>
    </row>
    <row r="544" spans="1:1" x14ac:dyDescent="0.35">
      <c r="A544" s="10"/>
    </row>
    <row r="545" spans="1:1" x14ac:dyDescent="0.35">
      <c r="A545" s="10"/>
    </row>
    <row r="546" spans="1:1" x14ac:dyDescent="0.35">
      <c r="A546" s="10"/>
    </row>
    <row r="547" spans="1:1" x14ac:dyDescent="0.35">
      <c r="A547" s="10"/>
    </row>
    <row r="548" spans="1:1" x14ac:dyDescent="0.35">
      <c r="A548" s="10"/>
    </row>
    <row r="549" spans="1:1" x14ac:dyDescent="0.35">
      <c r="A549" s="10"/>
    </row>
    <row r="550" spans="1:1" x14ac:dyDescent="0.35">
      <c r="A550" s="10"/>
    </row>
    <row r="551" spans="1:1" x14ac:dyDescent="0.35">
      <c r="A551" s="10"/>
    </row>
    <row r="552" spans="1:1" x14ac:dyDescent="0.35">
      <c r="A552" s="10"/>
    </row>
    <row r="553" spans="1:1" x14ac:dyDescent="0.35">
      <c r="A553" s="10"/>
    </row>
    <row r="554" spans="1:1" x14ac:dyDescent="0.35">
      <c r="A554" s="10"/>
    </row>
    <row r="555" spans="1:1" x14ac:dyDescent="0.35">
      <c r="A555" s="10"/>
    </row>
    <row r="556" spans="1:1" x14ac:dyDescent="0.35">
      <c r="A556" s="10"/>
    </row>
    <row r="557" spans="1:1" x14ac:dyDescent="0.35">
      <c r="A557" s="10"/>
    </row>
    <row r="558" spans="1:1" x14ac:dyDescent="0.35">
      <c r="A558" s="10"/>
    </row>
    <row r="559" spans="1:1" x14ac:dyDescent="0.35">
      <c r="A559" s="10"/>
    </row>
    <row r="560" spans="1:1" x14ac:dyDescent="0.35">
      <c r="A560" s="10"/>
    </row>
    <row r="561" spans="1:1" x14ac:dyDescent="0.35">
      <c r="A561" s="10"/>
    </row>
    <row r="562" spans="1:1" x14ac:dyDescent="0.35">
      <c r="A562" s="10"/>
    </row>
    <row r="563" spans="1:1" x14ac:dyDescent="0.35">
      <c r="A563" s="10"/>
    </row>
    <row r="564" spans="1:1" x14ac:dyDescent="0.35">
      <c r="A564" s="10"/>
    </row>
    <row r="565" spans="1:1" x14ac:dyDescent="0.35">
      <c r="A565" s="10"/>
    </row>
    <row r="566" spans="1:1" x14ac:dyDescent="0.35">
      <c r="A566" s="10"/>
    </row>
    <row r="567" spans="1:1" x14ac:dyDescent="0.35">
      <c r="A567" s="10"/>
    </row>
    <row r="568" spans="1:1" x14ac:dyDescent="0.35">
      <c r="A568" s="10"/>
    </row>
    <row r="569" spans="1:1" x14ac:dyDescent="0.35">
      <c r="A569" s="10"/>
    </row>
    <row r="570" spans="1:1" x14ac:dyDescent="0.35">
      <c r="A570" s="10"/>
    </row>
    <row r="571" spans="1:1" x14ac:dyDescent="0.35">
      <c r="A571" s="10"/>
    </row>
    <row r="572" spans="1:1" x14ac:dyDescent="0.35">
      <c r="A572" s="10"/>
    </row>
    <row r="573" spans="1:1" x14ac:dyDescent="0.35">
      <c r="A573" s="10"/>
    </row>
    <row r="574" spans="1:1" x14ac:dyDescent="0.35">
      <c r="A574" s="10"/>
    </row>
    <row r="575" spans="1:1" x14ac:dyDescent="0.35">
      <c r="A575" s="10"/>
    </row>
    <row r="576" spans="1:1" x14ac:dyDescent="0.35">
      <c r="A576" s="10"/>
    </row>
    <row r="577" spans="1:1" x14ac:dyDescent="0.35">
      <c r="A577" s="10"/>
    </row>
    <row r="578" spans="1:1" x14ac:dyDescent="0.35">
      <c r="A578" s="10"/>
    </row>
    <row r="579" spans="1:1" x14ac:dyDescent="0.35">
      <c r="A579" s="10"/>
    </row>
    <row r="580" spans="1:1" x14ac:dyDescent="0.35">
      <c r="A580" s="10"/>
    </row>
    <row r="581" spans="1:1" x14ac:dyDescent="0.35">
      <c r="A581" s="10"/>
    </row>
    <row r="582" spans="1:1" x14ac:dyDescent="0.35">
      <c r="A582" s="10"/>
    </row>
    <row r="583" spans="1:1" x14ac:dyDescent="0.35">
      <c r="A583" s="10"/>
    </row>
    <row r="584" spans="1:1" x14ac:dyDescent="0.35">
      <c r="A584" s="10"/>
    </row>
    <row r="585" spans="1:1" x14ac:dyDescent="0.35">
      <c r="A585" s="10"/>
    </row>
    <row r="586" spans="1:1" x14ac:dyDescent="0.35">
      <c r="A586" s="10"/>
    </row>
    <row r="587" spans="1:1" x14ac:dyDescent="0.35">
      <c r="A587" s="10"/>
    </row>
    <row r="588" spans="1:1" x14ac:dyDescent="0.35">
      <c r="A588" s="10"/>
    </row>
    <row r="589" spans="1:1" x14ac:dyDescent="0.35">
      <c r="A589" s="10"/>
    </row>
    <row r="590" spans="1:1" x14ac:dyDescent="0.35">
      <c r="A590" s="10"/>
    </row>
    <row r="591" spans="1:1" x14ac:dyDescent="0.35">
      <c r="A591" s="10"/>
    </row>
    <row r="592" spans="1:1" x14ac:dyDescent="0.35">
      <c r="A592" s="10"/>
    </row>
    <row r="593" spans="1:1" x14ac:dyDescent="0.35">
      <c r="A593" s="10"/>
    </row>
    <row r="594" spans="1:1" x14ac:dyDescent="0.35">
      <c r="A594" s="10"/>
    </row>
    <row r="595" spans="1:1" x14ac:dyDescent="0.35">
      <c r="A595" s="10"/>
    </row>
    <row r="596" spans="1:1" x14ac:dyDescent="0.35">
      <c r="A596" s="10"/>
    </row>
    <row r="597" spans="1:1" x14ac:dyDescent="0.35">
      <c r="A597" s="10"/>
    </row>
    <row r="598" spans="1:1" x14ac:dyDescent="0.35">
      <c r="A598" s="10"/>
    </row>
    <row r="599" spans="1:1" x14ac:dyDescent="0.35">
      <c r="A599" s="10"/>
    </row>
    <row r="600" spans="1:1" x14ac:dyDescent="0.35">
      <c r="A600" s="10"/>
    </row>
    <row r="601" spans="1:1" x14ac:dyDescent="0.35">
      <c r="A601" s="10"/>
    </row>
    <row r="602" spans="1:1" x14ac:dyDescent="0.35">
      <c r="A602" s="10"/>
    </row>
    <row r="603" spans="1:1" x14ac:dyDescent="0.35">
      <c r="A603" s="10"/>
    </row>
    <row r="604" spans="1:1" x14ac:dyDescent="0.35">
      <c r="A604" s="10"/>
    </row>
    <row r="605" spans="1:1" x14ac:dyDescent="0.35">
      <c r="A605" s="10"/>
    </row>
    <row r="606" spans="1:1" x14ac:dyDescent="0.35">
      <c r="A606" s="10"/>
    </row>
    <row r="607" spans="1:1" x14ac:dyDescent="0.35">
      <c r="A607" s="10"/>
    </row>
    <row r="608" spans="1:1" x14ac:dyDescent="0.35">
      <c r="A608" s="10"/>
    </row>
    <row r="609" spans="1:1" x14ac:dyDescent="0.35">
      <c r="A609" s="10"/>
    </row>
    <row r="610" spans="1:1" x14ac:dyDescent="0.35">
      <c r="A610" s="10"/>
    </row>
    <row r="611" spans="1:1" x14ac:dyDescent="0.35">
      <c r="A611" s="10"/>
    </row>
    <row r="612" spans="1:1" x14ac:dyDescent="0.35">
      <c r="A612" s="10"/>
    </row>
    <row r="613" spans="1:1" x14ac:dyDescent="0.35">
      <c r="A613" s="10"/>
    </row>
    <row r="614" spans="1:1" x14ac:dyDescent="0.35">
      <c r="A614" s="10"/>
    </row>
    <row r="615" spans="1:1" x14ac:dyDescent="0.35">
      <c r="A615" s="10"/>
    </row>
    <row r="616" spans="1:1" x14ac:dyDescent="0.35">
      <c r="A616" s="10"/>
    </row>
    <row r="617" spans="1:1" x14ac:dyDescent="0.35">
      <c r="A617" s="10"/>
    </row>
    <row r="618" spans="1:1" x14ac:dyDescent="0.35">
      <c r="A618" s="10"/>
    </row>
    <row r="619" spans="1:1" x14ac:dyDescent="0.35">
      <c r="A619" s="10"/>
    </row>
    <row r="620" spans="1:1" x14ac:dyDescent="0.35">
      <c r="A620" s="10"/>
    </row>
    <row r="621" spans="1:1" x14ac:dyDescent="0.35">
      <c r="A621" s="10"/>
    </row>
    <row r="622" spans="1:1" x14ac:dyDescent="0.35">
      <c r="A622" s="10"/>
    </row>
    <row r="623" spans="1:1" x14ac:dyDescent="0.35">
      <c r="A623" s="10"/>
    </row>
    <row r="624" spans="1:1" x14ac:dyDescent="0.35">
      <c r="A624" s="10"/>
    </row>
    <row r="625" spans="1:1" x14ac:dyDescent="0.35">
      <c r="A625" s="10"/>
    </row>
    <row r="626" spans="1:1" x14ac:dyDescent="0.35">
      <c r="A626" s="10"/>
    </row>
    <row r="627" spans="1:1" x14ac:dyDescent="0.35">
      <c r="A627" s="10"/>
    </row>
    <row r="628" spans="1:1" x14ac:dyDescent="0.35">
      <c r="A628" s="10"/>
    </row>
    <row r="629" spans="1:1" x14ac:dyDescent="0.35">
      <c r="A629" s="10"/>
    </row>
    <row r="630" spans="1:1" x14ac:dyDescent="0.35">
      <c r="A630" s="10"/>
    </row>
    <row r="631" spans="1:1" x14ac:dyDescent="0.35">
      <c r="A631" s="10"/>
    </row>
    <row r="632" spans="1:1" x14ac:dyDescent="0.35">
      <c r="A632" s="10"/>
    </row>
    <row r="633" spans="1:1" x14ac:dyDescent="0.35">
      <c r="A633" s="10"/>
    </row>
    <row r="634" spans="1:1" x14ac:dyDescent="0.35">
      <c r="A634" s="10"/>
    </row>
    <row r="635" spans="1:1" x14ac:dyDescent="0.35">
      <c r="A635" s="10"/>
    </row>
    <row r="636" spans="1:1" x14ac:dyDescent="0.35">
      <c r="A636" s="10"/>
    </row>
    <row r="637" spans="1:1" x14ac:dyDescent="0.35">
      <c r="A637" s="10"/>
    </row>
    <row r="638" spans="1:1" x14ac:dyDescent="0.35">
      <c r="A638" s="10"/>
    </row>
    <row r="639" spans="1:1" x14ac:dyDescent="0.35">
      <c r="A639" s="10"/>
    </row>
    <row r="640" spans="1:1" x14ac:dyDescent="0.35">
      <c r="A640" s="10"/>
    </row>
    <row r="641" spans="1:1" x14ac:dyDescent="0.35">
      <c r="A641" s="10"/>
    </row>
    <row r="642" spans="1:1" x14ac:dyDescent="0.35">
      <c r="A642" s="10"/>
    </row>
    <row r="643" spans="1:1" x14ac:dyDescent="0.35">
      <c r="A643" s="10"/>
    </row>
    <row r="644" spans="1:1" x14ac:dyDescent="0.35">
      <c r="A644" s="10"/>
    </row>
    <row r="645" spans="1:1" x14ac:dyDescent="0.35">
      <c r="A645" s="10"/>
    </row>
    <row r="646" spans="1:1" x14ac:dyDescent="0.35">
      <c r="A646" s="10"/>
    </row>
    <row r="647" spans="1:1" x14ac:dyDescent="0.35">
      <c r="A647" s="10"/>
    </row>
    <row r="648" spans="1:1" x14ac:dyDescent="0.35">
      <c r="A648" s="10"/>
    </row>
    <row r="649" spans="1:1" x14ac:dyDescent="0.35">
      <c r="A649" s="10"/>
    </row>
    <row r="650" spans="1:1" x14ac:dyDescent="0.35">
      <c r="A650" s="10"/>
    </row>
    <row r="651" spans="1:1" x14ac:dyDescent="0.35">
      <c r="A651" s="10"/>
    </row>
    <row r="652" spans="1:1" x14ac:dyDescent="0.35">
      <c r="A652" s="10"/>
    </row>
    <row r="653" spans="1:1" x14ac:dyDescent="0.35">
      <c r="A653" s="10"/>
    </row>
    <row r="654" spans="1:1" x14ac:dyDescent="0.35">
      <c r="A654" s="10"/>
    </row>
    <row r="655" spans="1:1" x14ac:dyDescent="0.35">
      <c r="A655" s="10"/>
    </row>
    <row r="656" spans="1:1" x14ac:dyDescent="0.35">
      <c r="A656" s="10"/>
    </row>
    <row r="657" spans="1:1" x14ac:dyDescent="0.35">
      <c r="A657" s="10"/>
    </row>
    <row r="658" spans="1:1" x14ac:dyDescent="0.35">
      <c r="A658" s="10"/>
    </row>
    <row r="659" spans="1:1" x14ac:dyDescent="0.35">
      <c r="A659" s="10"/>
    </row>
    <row r="660" spans="1:1" x14ac:dyDescent="0.35">
      <c r="A660" s="10"/>
    </row>
    <row r="661" spans="1:1" x14ac:dyDescent="0.35">
      <c r="A661" s="10"/>
    </row>
    <row r="662" spans="1:1" x14ac:dyDescent="0.35">
      <c r="A662" s="10"/>
    </row>
    <row r="663" spans="1:1" x14ac:dyDescent="0.35">
      <c r="A663" s="10"/>
    </row>
    <row r="664" spans="1:1" x14ac:dyDescent="0.35">
      <c r="A664" s="10"/>
    </row>
    <row r="665" spans="1:1" x14ac:dyDescent="0.35">
      <c r="A665" s="10"/>
    </row>
    <row r="666" spans="1:1" x14ac:dyDescent="0.35">
      <c r="A666" s="10"/>
    </row>
    <row r="667" spans="1:1" x14ac:dyDescent="0.35">
      <c r="A667" s="10"/>
    </row>
    <row r="668" spans="1:1" x14ac:dyDescent="0.35">
      <c r="A668" s="10"/>
    </row>
    <row r="669" spans="1:1" x14ac:dyDescent="0.35">
      <c r="A669" s="10"/>
    </row>
    <row r="670" spans="1:1" x14ac:dyDescent="0.35">
      <c r="A670" s="10"/>
    </row>
    <row r="671" spans="1:1" x14ac:dyDescent="0.35">
      <c r="A671" s="10"/>
    </row>
    <row r="672" spans="1:1" x14ac:dyDescent="0.35">
      <c r="A672" s="10"/>
    </row>
    <row r="673" spans="1:1" x14ac:dyDescent="0.35">
      <c r="A673" s="10"/>
    </row>
    <row r="674" spans="1:1" x14ac:dyDescent="0.35">
      <c r="A674" s="10"/>
    </row>
    <row r="675" spans="1:1" x14ac:dyDescent="0.35">
      <c r="A675" s="10"/>
    </row>
    <row r="676" spans="1:1" x14ac:dyDescent="0.35">
      <c r="A676" s="10"/>
    </row>
    <row r="677" spans="1:1" x14ac:dyDescent="0.35">
      <c r="A677" s="10"/>
    </row>
    <row r="678" spans="1:1" x14ac:dyDescent="0.35">
      <c r="A678" s="10"/>
    </row>
    <row r="679" spans="1:1" x14ac:dyDescent="0.35">
      <c r="A679" s="10"/>
    </row>
    <row r="680" spans="1:1" x14ac:dyDescent="0.35">
      <c r="A680" s="10"/>
    </row>
    <row r="681" spans="1:1" x14ac:dyDescent="0.35">
      <c r="A681" s="10"/>
    </row>
    <row r="682" spans="1:1" x14ac:dyDescent="0.35">
      <c r="A682" s="10"/>
    </row>
    <row r="683" spans="1:1" x14ac:dyDescent="0.35">
      <c r="A683" s="10"/>
    </row>
    <row r="684" spans="1:1" x14ac:dyDescent="0.35">
      <c r="A684" s="10"/>
    </row>
    <row r="685" spans="1:1" x14ac:dyDescent="0.35">
      <c r="A685" s="10"/>
    </row>
    <row r="686" spans="1:1" x14ac:dyDescent="0.35">
      <c r="A686" s="10"/>
    </row>
    <row r="687" spans="1:1" x14ac:dyDescent="0.35">
      <c r="A687" s="3"/>
    </row>
    <row r="688" spans="1:1" x14ac:dyDescent="0.35">
      <c r="A688" s="3"/>
    </row>
    <row r="689" spans="1:1" x14ac:dyDescent="0.35">
      <c r="A689" s="3"/>
    </row>
    <row r="690" spans="1:1" x14ac:dyDescent="0.35">
      <c r="A690" s="3"/>
    </row>
    <row r="691" spans="1:1" x14ac:dyDescent="0.35">
      <c r="A691" s="3"/>
    </row>
    <row r="692" spans="1:1" x14ac:dyDescent="0.35">
      <c r="A692" s="3"/>
    </row>
    <row r="693" spans="1:1" x14ac:dyDescent="0.35">
      <c r="A693" s="3"/>
    </row>
    <row r="694" spans="1:1" x14ac:dyDescent="0.35">
      <c r="A694" s="3"/>
    </row>
    <row r="695" spans="1:1" x14ac:dyDescent="0.35">
      <c r="A695" s="3"/>
    </row>
    <row r="696" spans="1:1" x14ac:dyDescent="0.35">
      <c r="A696" s="3"/>
    </row>
    <row r="697" spans="1:1" x14ac:dyDescent="0.35">
      <c r="A697" s="3"/>
    </row>
    <row r="698" spans="1:1" x14ac:dyDescent="0.35">
      <c r="A698" s="3"/>
    </row>
    <row r="699" spans="1:1" x14ac:dyDescent="0.35">
      <c r="A699" s="3"/>
    </row>
    <row r="700" spans="1:1" x14ac:dyDescent="0.35">
      <c r="A700" s="3"/>
    </row>
    <row r="701" spans="1:1" x14ac:dyDescent="0.35">
      <c r="A701" s="3"/>
    </row>
    <row r="702" spans="1:1" x14ac:dyDescent="0.35">
      <c r="A702" s="3"/>
    </row>
    <row r="703" spans="1:1" x14ac:dyDescent="0.35">
      <c r="A703" s="3"/>
    </row>
    <row r="704" spans="1:1" x14ac:dyDescent="0.35">
      <c r="A704" s="3"/>
    </row>
    <row r="705" spans="1:1" x14ac:dyDescent="0.35">
      <c r="A705" s="3"/>
    </row>
    <row r="706" spans="1:1" x14ac:dyDescent="0.35">
      <c r="A706" s="3"/>
    </row>
    <row r="707" spans="1:1" x14ac:dyDescent="0.35">
      <c r="A707" s="3"/>
    </row>
    <row r="708" spans="1:1" x14ac:dyDescent="0.35">
      <c r="A708" s="3"/>
    </row>
    <row r="709" spans="1:1" x14ac:dyDescent="0.35">
      <c r="A709" s="3"/>
    </row>
    <row r="710" spans="1:1" x14ac:dyDescent="0.35">
      <c r="A710" s="3"/>
    </row>
    <row r="711" spans="1:1" x14ac:dyDescent="0.35">
      <c r="A711" s="3"/>
    </row>
    <row r="712" spans="1:1" x14ac:dyDescent="0.35">
      <c r="A712" s="3"/>
    </row>
    <row r="713" spans="1:1" x14ac:dyDescent="0.35">
      <c r="A713" s="3"/>
    </row>
    <row r="714" spans="1:1" x14ac:dyDescent="0.35">
      <c r="A714" s="3"/>
    </row>
    <row r="715" spans="1:1" x14ac:dyDescent="0.35">
      <c r="A715" s="3"/>
    </row>
    <row r="716" spans="1:1" x14ac:dyDescent="0.35">
      <c r="A716" s="3"/>
    </row>
    <row r="717" spans="1:1" x14ac:dyDescent="0.35">
      <c r="A717" s="3"/>
    </row>
    <row r="718" spans="1:1" x14ac:dyDescent="0.35">
      <c r="A718" s="3"/>
    </row>
    <row r="719" spans="1:1" x14ac:dyDescent="0.35">
      <c r="A719" s="3"/>
    </row>
    <row r="720" spans="1:1" x14ac:dyDescent="0.35">
      <c r="A720" s="3"/>
    </row>
    <row r="721" spans="1:1" x14ac:dyDescent="0.35">
      <c r="A721" s="3"/>
    </row>
    <row r="722" spans="1:1" x14ac:dyDescent="0.35">
      <c r="A722" s="3"/>
    </row>
    <row r="723" spans="1:1" x14ac:dyDescent="0.35">
      <c r="A723" s="3"/>
    </row>
    <row r="724" spans="1:1" x14ac:dyDescent="0.35">
      <c r="A724" s="3"/>
    </row>
    <row r="725" spans="1:1" x14ac:dyDescent="0.35">
      <c r="A725" s="3"/>
    </row>
    <row r="726" spans="1:1" x14ac:dyDescent="0.35">
      <c r="A726" s="3"/>
    </row>
    <row r="727" spans="1:1" x14ac:dyDescent="0.35">
      <c r="A727" s="3"/>
    </row>
    <row r="728" spans="1:1" x14ac:dyDescent="0.35">
      <c r="A728" s="3"/>
    </row>
    <row r="729" spans="1:1" x14ac:dyDescent="0.35">
      <c r="A729" s="3"/>
    </row>
    <row r="730" spans="1:1" x14ac:dyDescent="0.35">
      <c r="A730" s="3"/>
    </row>
    <row r="731" spans="1:1" x14ac:dyDescent="0.35">
      <c r="A731" s="3"/>
    </row>
    <row r="732" spans="1:1" x14ac:dyDescent="0.35">
      <c r="A732" s="3"/>
    </row>
    <row r="733" spans="1:1" x14ac:dyDescent="0.35">
      <c r="A733" s="3"/>
    </row>
    <row r="734" spans="1:1" x14ac:dyDescent="0.35">
      <c r="A734" s="3"/>
    </row>
    <row r="735" spans="1:1" x14ac:dyDescent="0.35">
      <c r="A735" s="3"/>
    </row>
    <row r="736" spans="1:1" x14ac:dyDescent="0.35">
      <c r="A736" s="3"/>
    </row>
    <row r="737" spans="1:1" x14ac:dyDescent="0.35">
      <c r="A737" s="3"/>
    </row>
    <row r="738" spans="1:1" x14ac:dyDescent="0.35">
      <c r="A738" s="3"/>
    </row>
    <row r="739" spans="1:1" x14ac:dyDescent="0.35">
      <c r="A739" s="3"/>
    </row>
    <row r="740" spans="1:1" x14ac:dyDescent="0.35">
      <c r="A740" s="3"/>
    </row>
    <row r="741" spans="1:1" x14ac:dyDescent="0.35">
      <c r="A741" s="3"/>
    </row>
    <row r="742" spans="1:1" x14ac:dyDescent="0.35">
      <c r="A742" s="3"/>
    </row>
    <row r="743" spans="1:1" x14ac:dyDescent="0.35">
      <c r="A743" s="3"/>
    </row>
    <row r="744" spans="1:1" x14ac:dyDescent="0.35">
      <c r="A744" s="3"/>
    </row>
    <row r="745" spans="1:1" x14ac:dyDescent="0.35">
      <c r="A745" s="3"/>
    </row>
    <row r="746" spans="1:1" x14ac:dyDescent="0.35">
      <c r="A746" s="3"/>
    </row>
    <row r="747" spans="1:1" x14ac:dyDescent="0.35">
      <c r="A747" s="3"/>
    </row>
    <row r="748" spans="1:1" x14ac:dyDescent="0.35">
      <c r="A748" s="3"/>
    </row>
    <row r="749" spans="1:1" x14ac:dyDescent="0.35">
      <c r="A749" s="3"/>
    </row>
    <row r="750" spans="1:1" x14ac:dyDescent="0.35">
      <c r="A750" s="3"/>
    </row>
    <row r="751" spans="1:1" x14ac:dyDescent="0.35">
      <c r="A751" s="3"/>
    </row>
    <row r="752" spans="1:1" x14ac:dyDescent="0.35">
      <c r="A752" s="3"/>
    </row>
    <row r="753" spans="1:1" x14ac:dyDescent="0.35">
      <c r="A753" s="3"/>
    </row>
    <row r="754" spans="1:1" x14ac:dyDescent="0.35">
      <c r="A754" s="3"/>
    </row>
    <row r="755" spans="1:1" x14ac:dyDescent="0.35">
      <c r="A755" s="3"/>
    </row>
    <row r="756" spans="1:1" x14ac:dyDescent="0.35">
      <c r="A756" s="3"/>
    </row>
    <row r="757" spans="1:1" x14ac:dyDescent="0.35">
      <c r="A757" s="3"/>
    </row>
    <row r="758" spans="1:1" x14ac:dyDescent="0.35">
      <c r="A758" s="3"/>
    </row>
    <row r="759" spans="1:1" x14ac:dyDescent="0.35">
      <c r="A759" s="3"/>
    </row>
    <row r="760" spans="1:1" x14ac:dyDescent="0.35">
      <c r="A760" s="3"/>
    </row>
    <row r="761" spans="1:1" x14ac:dyDescent="0.35">
      <c r="A761" s="3"/>
    </row>
    <row r="762" spans="1:1" x14ac:dyDescent="0.35">
      <c r="A762" s="3"/>
    </row>
    <row r="763" spans="1:1" x14ac:dyDescent="0.35">
      <c r="A763" s="3"/>
    </row>
    <row r="764" spans="1:1" x14ac:dyDescent="0.35">
      <c r="A764" s="3"/>
    </row>
    <row r="765" spans="1:1" x14ac:dyDescent="0.35">
      <c r="A765" s="3"/>
    </row>
    <row r="766" spans="1:1" x14ac:dyDescent="0.35">
      <c r="A766" s="3"/>
    </row>
    <row r="767" spans="1:1" x14ac:dyDescent="0.35">
      <c r="A767" s="3"/>
    </row>
    <row r="768" spans="1:1" x14ac:dyDescent="0.35">
      <c r="A768" s="3"/>
    </row>
    <row r="769" spans="1:1" x14ac:dyDescent="0.35">
      <c r="A769" s="3"/>
    </row>
    <row r="770" spans="1:1" x14ac:dyDescent="0.35">
      <c r="A770" s="3"/>
    </row>
    <row r="771" spans="1:1" x14ac:dyDescent="0.35">
      <c r="A771" s="3"/>
    </row>
    <row r="772" spans="1:1" x14ac:dyDescent="0.35">
      <c r="A772" s="3"/>
    </row>
    <row r="773" spans="1:1" x14ac:dyDescent="0.35">
      <c r="A773" s="3"/>
    </row>
    <row r="774" spans="1:1" x14ac:dyDescent="0.35">
      <c r="A774" s="3"/>
    </row>
    <row r="775" spans="1:1" x14ac:dyDescent="0.35">
      <c r="A775" s="3"/>
    </row>
    <row r="776" spans="1:1" x14ac:dyDescent="0.35">
      <c r="A776" s="3"/>
    </row>
    <row r="777" spans="1:1" x14ac:dyDescent="0.35">
      <c r="A777" s="3"/>
    </row>
    <row r="778" spans="1:1" x14ac:dyDescent="0.35">
      <c r="A778" s="3"/>
    </row>
    <row r="779" spans="1:1" x14ac:dyDescent="0.35">
      <c r="A779" s="3"/>
    </row>
    <row r="780" spans="1:1" x14ac:dyDescent="0.35">
      <c r="A780" s="3"/>
    </row>
    <row r="781" spans="1:1" x14ac:dyDescent="0.35">
      <c r="A781" s="3"/>
    </row>
    <row r="782" spans="1:1" x14ac:dyDescent="0.35">
      <c r="A782" s="3"/>
    </row>
    <row r="783" spans="1:1" x14ac:dyDescent="0.35">
      <c r="A783" s="3"/>
    </row>
    <row r="784" spans="1:1" x14ac:dyDescent="0.35">
      <c r="A784" s="3"/>
    </row>
    <row r="785" spans="1:1" x14ac:dyDescent="0.35">
      <c r="A785" s="3"/>
    </row>
    <row r="786" spans="1:1" x14ac:dyDescent="0.35">
      <c r="A786" s="3"/>
    </row>
    <row r="787" spans="1:1" x14ac:dyDescent="0.35">
      <c r="A787" s="3"/>
    </row>
    <row r="788" spans="1:1" x14ac:dyDescent="0.35">
      <c r="A788" s="3"/>
    </row>
    <row r="789" spans="1:1" x14ac:dyDescent="0.35">
      <c r="A789" s="3"/>
    </row>
    <row r="790" spans="1:1" x14ac:dyDescent="0.35">
      <c r="A790" s="3"/>
    </row>
    <row r="791" spans="1:1" x14ac:dyDescent="0.35">
      <c r="A791" s="3"/>
    </row>
    <row r="792" spans="1:1" x14ac:dyDescent="0.35">
      <c r="A792" s="3"/>
    </row>
    <row r="793" spans="1:1" x14ac:dyDescent="0.35">
      <c r="A793" s="3"/>
    </row>
    <row r="794" spans="1:1" x14ac:dyDescent="0.35">
      <c r="A794" s="3"/>
    </row>
    <row r="795" spans="1:1" x14ac:dyDescent="0.35">
      <c r="A795" s="3"/>
    </row>
    <row r="796" spans="1:1" x14ac:dyDescent="0.35">
      <c r="A796" s="3"/>
    </row>
    <row r="797" spans="1:1" x14ac:dyDescent="0.35">
      <c r="A797" s="3"/>
    </row>
    <row r="798" spans="1:1" x14ac:dyDescent="0.35">
      <c r="A798" s="3"/>
    </row>
    <row r="799" spans="1:1" x14ac:dyDescent="0.35">
      <c r="A799" s="3"/>
    </row>
    <row r="800" spans="1:1" x14ac:dyDescent="0.35">
      <c r="A800" s="3"/>
    </row>
    <row r="801" spans="1:1" x14ac:dyDescent="0.35">
      <c r="A801" s="3"/>
    </row>
    <row r="802" spans="1:1" x14ac:dyDescent="0.35">
      <c r="A802" s="3"/>
    </row>
    <row r="803" spans="1:1" x14ac:dyDescent="0.35">
      <c r="A803" s="3"/>
    </row>
    <row r="804" spans="1:1" x14ac:dyDescent="0.35">
      <c r="A804" s="3"/>
    </row>
    <row r="805" spans="1:1" x14ac:dyDescent="0.35">
      <c r="A805" s="3"/>
    </row>
    <row r="806" spans="1:1" x14ac:dyDescent="0.35">
      <c r="A806" s="3"/>
    </row>
    <row r="807" spans="1:1" x14ac:dyDescent="0.35">
      <c r="A807" s="3"/>
    </row>
    <row r="808" spans="1:1" x14ac:dyDescent="0.35">
      <c r="A808" s="3"/>
    </row>
    <row r="809" spans="1:1" x14ac:dyDescent="0.35">
      <c r="A809" s="3"/>
    </row>
    <row r="810" spans="1:1" x14ac:dyDescent="0.35">
      <c r="A810" s="3"/>
    </row>
    <row r="811" spans="1:1" x14ac:dyDescent="0.35">
      <c r="A811" s="3"/>
    </row>
    <row r="812" spans="1:1" x14ac:dyDescent="0.35">
      <c r="A812" s="3"/>
    </row>
    <row r="813" spans="1:1" x14ac:dyDescent="0.35">
      <c r="A813" s="3"/>
    </row>
    <row r="814" spans="1:1" x14ac:dyDescent="0.35">
      <c r="A814" s="3"/>
    </row>
    <row r="815" spans="1:1" x14ac:dyDescent="0.35">
      <c r="A815" s="10"/>
    </row>
    <row r="816" spans="1:1" x14ac:dyDescent="0.35">
      <c r="A816" s="10"/>
    </row>
    <row r="817" spans="1:1" x14ac:dyDescent="0.35">
      <c r="A817" s="10"/>
    </row>
    <row r="818" spans="1:1" x14ac:dyDescent="0.35">
      <c r="A818" s="10"/>
    </row>
    <row r="819" spans="1:1" x14ac:dyDescent="0.35">
      <c r="A819" s="10"/>
    </row>
    <row r="820" spans="1:1" x14ac:dyDescent="0.35">
      <c r="A820" s="10"/>
    </row>
    <row r="821" spans="1:1" x14ac:dyDescent="0.35">
      <c r="A821" s="10"/>
    </row>
    <row r="822" spans="1:1" x14ac:dyDescent="0.35">
      <c r="A822" s="10"/>
    </row>
    <row r="823" spans="1:1" x14ac:dyDescent="0.35">
      <c r="A823" s="10"/>
    </row>
    <row r="824" spans="1:1" x14ac:dyDescent="0.35">
      <c r="A824" s="10"/>
    </row>
    <row r="825" spans="1:1" x14ac:dyDescent="0.35">
      <c r="A825" s="10"/>
    </row>
    <row r="826" spans="1:1" x14ac:dyDescent="0.35">
      <c r="A826" s="10"/>
    </row>
    <row r="827" spans="1:1" x14ac:dyDescent="0.35">
      <c r="A827" s="10"/>
    </row>
    <row r="828" spans="1:1" x14ac:dyDescent="0.35">
      <c r="A828" s="10"/>
    </row>
    <row r="829" spans="1:1" x14ac:dyDescent="0.35">
      <c r="A829" s="10"/>
    </row>
    <row r="830" spans="1:1" x14ac:dyDescent="0.35">
      <c r="A830" s="10"/>
    </row>
    <row r="831" spans="1:1" x14ac:dyDescent="0.35">
      <c r="A831" s="10"/>
    </row>
    <row r="832" spans="1:1" x14ac:dyDescent="0.35">
      <c r="A832" s="10"/>
    </row>
    <row r="833" spans="1:1" x14ac:dyDescent="0.35">
      <c r="A833" s="3"/>
    </row>
    <row r="834" spans="1:1" x14ac:dyDescent="0.35">
      <c r="A834" s="3"/>
    </row>
    <row r="835" spans="1:1" x14ac:dyDescent="0.35">
      <c r="A835" s="3"/>
    </row>
    <row r="836" spans="1:1" x14ac:dyDescent="0.35">
      <c r="A836" s="3"/>
    </row>
    <row r="837" spans="1:1" x14ac:dyDescent="0.35">
      <c r="A837" s="3"/>
    </row>
    <row r="838" spans="1:1" x14ac:dyDescent="0.35">
      <c r="A838" s="3"/>
    </row>
    <row r="839" spans="1:1" x14ac:dyDescent="0.35">
      <c r="A839" s="3"/>
    </row>
    <row r="840" spans="1:1" x14ac:dyDescent="0.35">
      <c r="A840" s="3"/>
    </row>
    <row r="841" spans="1:1" x14ac:dyDescent="0.35">
      <c r="A841" s="3"/>
    </row>
    <row r="842" spans="1:1" x14ac:dyDescent="0.35">
      <c r="A842" s="3"/>
    </row>
    <row r="843" spans="1:1" x14ac:dyDescent="0.35">
      <c r="A843" s="3"/>
    </row>
    <row r="844" spans="1:1" x14ac:dyDescent="0.35">
      <c r="A844" s="3"/>
    </row>
    <row r="845" spans="1:1" x14ac:dyDescent="0.35">
      <c r="A845" s="3"/>
    </row>
    <row r="846" spans="1:1" x14ac:dyDescent="0.35">
      <c r="A846" s="3"/>
    </row>
    <row r="847" spans="1:1" x14ac:dyDescent="0.35">
      <c r="A847" s="3"/>
    </row>
    <row r="848" spans="1:1" x14ac:dyDescent="0.35">
      <c r="A848" s="3"/>
    </row>
    <row r="849" spans="1:1" x14ac:dyDescent="0.35">
      <c r="A849" s="3"/>
    </row>
    <row r="850" spans="1:1" x14ac:dyDescent="0.35">
      <c r="A850" s="3"/>
    </row>
    <row r="851" spans="1:1" x14ac:dyDescent="0.35">
      <c r="A851" s="3"/>
    </row>
    <row r="852" spans="1:1" x14ac:dyDescent="0.35">
      <c r="A852" s="3"/>
    </row>
    <row r="853" spans="1:1" x14ac:dyDescent="0.35">
      <c r="A853" s="3"/>
    </row>
    <row r="854" spans="1:1" x14ac:dyDescent="0.35">
      <c r="A854" s="3"/>
    </row>
    <row r="855" spans="1:1" x14ac:dyDescent="0.35">
      <c r="A855" s="3"/>
    </row>
    <row r="856" spans="1:1" x14ac:dyDescent="0.35">
      <c r="A856" s="3"/>
    </row>
    <row r="857" spans="1:1" x14ac:dyDescent="0.35">
      <c r="A857" s="3"/>
    </row>
    <row r="858" spans="1:1" x14ac:dyDescent="0.35">
      <c r="A858" s="3"/>
    </row>
    <row r="859" spans="1:1" x14ac:dyDescent="0.35">
      <c r="A859" s="3"/>
    </row>
    <row r="860" spans="1:1" x14ac:dyDescent="0.35">
      <c r="A860" s="3"/>
    </row>
    <row r="861" spans="1:1" x14ac:dyDescent="0.35">
      <c r="A861" s="3"/>
    </row>
    <row r="862" spans="1:1" x14ac:dyDescent="0.35">
      <c r="A862" s="3"/>
    </row>
    <row r="863" spans="1:1" x14ac:dyDescent="0.35">
      <c r="A863" s="3"/>
    </row>
    <row r="864" spans="1:1" x14ac:dyDescent="0.35">
      <c r="A864" s="3"/>
    </row>
    <row r="865" spans="1:1" x14ac:dyDescent="0.35">
      <c r="A865" s="3"/>
    </row>
    <row r="866" spans="1:1" x14ac:dyDescent="0.35">
      <c r="A866" s="3"/>
    </row>
    <row r="867" spans="1:1" x14ac:dyDescent="0.35">
      <c r="A867" s="3"/>
    </row>
    <row r="868" spans="1:1" x14ac:dyDescent="0.35">
      <c r="A868" s="3"/>
    </row>
    <row r="869" spans="1:1" x14ac:dyDescent="0.35">
      <c r="A869" s="3"/>
    </row>
    <row r="870" spans="1:1" x14ac:dyDescent="0.35">
      <c r="A870" s="3"/>
    </row>
    <row r="871" spans="1:1" x14ac:dyDescent="0.35">
      <c r="A871" s="3"/>
    </row>
    <row r="872" spans="1:1" x14ac:dyDescent="0.35">
      <c r="A872" s="3"/>
    </row>
    <row r="873" spans="1:1" x14ac:dyDescent="0.35">
      <c r="A873" s="3"/>
    </row>
    <row r="874" spans="1:1" x14ac:dyDescent="0.35">
      <c r="A874" s="3"/>
    </row>
    <row r="875" spans="1:1" x14ac:dyDescent="0.35">
      <c r="A875" s="3"/>
    </row>
    <row r="876" spans="1:1" x14ac:dyDescent="0.35">
      <c r="A876" s="3"/>
    </row>
    <row r="877" spans="1:1" x14ac:dyDescent="0.35">
      <c r="A877" s="3"/>
    </row>
    <row r="878" spans="1:1" x14ac:dyDescent="0.35">
      <c r="A878" s="3"/>
    </row>
    <row r="879" spans="1:1" x14ac:dyDescent="0.35">
      <c r="A879" s="3"/>
    </row>
    <row r="880" spans="1:1" x14ac:dyDescent="0.35">
      <c r="A880" s="3"/>
    </row>
    <row r="881" spans="1:1" x14ac:dyDescent="0.35">
      <c r="A881" s="3"/>
    </row>
    <row r="882" spans="1:1" x14ac:dyDescent="0.35">
      <c r="A882" s="3"/>
    </row>
    <row r="883" spans="1:1" x14ac:dyDescent="0.35">
      <c r="A883" s="3"/>
    </row>
    <row r="884" spans="1:1" x14ac:dyDescent="0.35">
      <c r="A884" s="3"/>
    </row>
    <row r="885" spans="1:1" x14ac:dyDescent="0.35">
      <c r="A885" s="3"/>
    </row>
    <row r="886" spans="1:1" x14ac:dyDescent="0.35">
      <c r="A886" s="3"/>
    </row>
    <row r="887" spans="1:1" x14ac:dyDescent="0.35">
      <c r="A887" s="3"/>
    </row>
    <row r="888" spans="1:1" x14ac:dyDescent="0.35">
      <c r="A888" s="3"/>
    </row>
    <row r="889" spans="1:1" x14ac:dyDescent="0.35">
      <c r="A889" s="3"/>
    </row>
    <row r="890" spans="1:1" x14ac:dyDescent="0.35">
      <c r="A890" s="3"/>
    </row>
    <row r="891" spans="1:1" x14ac:dyDescent="0.35">
      <c r="A891" s="3"/>
    </row>
    <row r="892" spans="1:1" x14ac:dyDescent="0.35">
      <c r="A892" s="3"/>
    </row>
    <row r="893" spans="1:1" x14ac:dyDescent="0.35">
      <c r="A893" s="3"/>
    </row>
    <row r="894" spans="1:1" x14ac:dyDescent="0.35">
      <c r="A894" s="3"/>
    </row>
    <row r="895" spans="1:1" x14ac:dyDescent="0.35">
      <c r="A895" s="3"/>
    </row>
    <row r="896" spans="1:1" x14ac:dyDescent="0.35">
      <c r="A896" s="3"/>
    </row>
    <row r="897" spans="1:1" x14ac:dyDescent="0.35">
      <c r="A897" s="3"/>
    </row>
    <row r="898" spans="1:1" x14ac:dyDescent="0.35">
      <c r="A898" s="3"/>
    </row>
    <row r="899" spans="1:1" x14ac:dyDescent="0.35">
      <c r="A899" s="3"/>
    </row>
    <row r="900" spans="1:1" x14ac:dyDescent="0.35">
      <c r="A900" s="3"/>
    </row>
    <row r="901" spans="1:1" x14ac:dyDescent="0.35">
      <c r="A901" s="3"/>
    </row>
    <row r="902" spans="1:1" x14ac:dyDescent="0.35">
      <c r="A902" s="3"/>
    </row>
    <row r="903" spans="1:1" x14ac:dyDescent="0.35">
      <c r="A903" s="3"/>
    </row>
    <row r="904" spans="1:1" x14ac:dyDescent="0.35">
      <c r="A904" s="3"/>
    </row>
    <row r="905" spans="1:1" x14ac:dyDescent="0.35">
      <c r="A905" s="3"/>
    </row>
    <row r="906" spans="1:1" x14ac:dyDescent="0.35">
      <c r="A906" s="3"/>
    </row>
    <row r="907" spans="1:1" x14ac:dyDescent="0.35">
      <c r="A907" s="3"/>
    </row>
    <row r="908" spans="1:1" x14ac:dyDescent="0.35">
      <c r="A908" s="3"/>
    </row>
    <row r="909" spans="1:1" x14ac:dyDescent="0.35">
      <c r="A909" s="3"/>
    </row>
    <row r="910" spans="1:1" x14ac:dyDescent="0.35">
      <c r="A910" s="3"/>
    </row>
    <row r="911" spans="1:1" x14ac:dyDescent="0.35">
      <c r="A911" s="3"/>
    </row>
    <row r="912" spans="1:1" x14ac:dyDescent="0.35">
      <c r="A912" s="3"/>
    </row>
    <row r="913" spans="1:1" x14ac:dyDescent="0.35">
      <c r="A913" s="3"/>
    </row>
    <row r="914" spans="1:1" x14ac:dyDescent="0.35">
      <c r="A914" s="3"/>
    </row>
    <row r="915" spans="1:1" x14ac:dyDescent="0.35">
      <c r="A915" s="3"/>
    </row>
    <row r="916" spans="1:1" x14ac:dyDescent="0.35">
      <c r="A916" s="3"/>
    </row>
    <row r="917" spans="1:1" x14ac:dyDescent="0.35">
      <c r="A917" s="3"/>
    </row>
    <row r="918" spans="1:1" x14ac:dyDescent="0.35">
      <c r="A918" s="3"/>
    </row>
    <row r="919" spans="1:1" x14ac:dyDescent="0.35">
      <c r="A919" s="3"/>
    </row>
    <row r="920" spans="1:1" x14ac:dyDescent="0.35">
      <c r="A920" s="3"/>
    </row>
    <row r="921" spans="1:1" x14ac:dyDescent="0.35">
      <c r="A921" s="3"/>
    </row>
    <row r="922" spans="1:1" x14ac:dyDescent="0.35">
      <c r="A922" s="3"/>
    </row>
    <row r="923" spans="1:1" x14ac:dyDescent="0.35">
      <c r="A923" s="3"/>
    </row>
    <row r="924" spans="1:1" x14ac:dyDescent="0.35">
      <c r="A924" s="3"/>
    </row>
    <row r="925" spans="1:1" x14ac:dyDescent="0.35">
      <c r="A925" s="3"/>
    </row>
    <row r="926" spans="1:1" x14ac:dyDescent="0.35">
      <c r="A926" s="3"/>
    </row>
    <row r="927" spans="1:1" x14ac:dyDescent="0.35">
      <c r="A927" s="3"/>
    </row>
    <row r="928" spans="1:1" x14ac:dyDescent="0.35">
      <c r="A928" s="3"/>
    </row>
    <row r="929" spans="1:1" x14ac:dyDescent="0.35">
      <c r="A929" s="3"/>
    </row>
    <row r="930" spans="1:1" x14ac:dyDescent="0.35">
      <c r="A930" s="3"/>
    </row>
    <row r="931" spans="1:1" x14ac:dyDescent="0.35">
      <c r="A931" s="3"/>
    </row>
    <row r="932" spans="1:1" x14ac:dyDescent="0.35">
      <c r="A932" s="3"/>
    </row>
    <row r="933" spans="1:1" x14ac:dyDescent="0.35">
      <c r="A933" s="3"/>
    </row>
    <row r="934" spans="1:1" x14ac:dyDescent="0.35">
      <c r="A934" s="3"/>
    </row>
    <row r="935" spans="1:1" x14ac:dyDescent="0.35">
      <c r="A935" s="3"/>
    </row>
    <row r="936" spans="1:1" x14ac:dyDescent="0.35">
      <c r="A936" s="3"/>
    </row>
    <row r="937" spans="1:1" x14ac:dyDescent="0.35">
      <c r="A937" s="3"/>
    </row>
    <row r="938" spans="1:1" x14ac:dyDescent="0.35">
      <c r="A938" s="3"/>
    </row>
    <row r="939" spans="1:1" x14ac:dyDescent="0.35">
      <c r="A939" s="3"/>
    </row>
    <row r="940" spans="1:1" x14ac:dyDescent="0.35">
      <c r="A940" s="3"/>
    </row>
    <row r="941" spans="1:1" x14ac:dyDescent="0.35">
      <c r="A941" s="3"/>
    </row>
    <row r="942" spans="1:1" x14ac:dyDescent="0.35">
      <c r="A942" s="3"/>
    </row>
    <row r="943" spans="1:1" x14ac:dyDescent="0.35">
      <c r="A943" s="3"/>
    </row>
    <row r="944" spans="1:1" x14ac:dyDescent="0.35">
      <c r="A944" s="3"/>
    </row>
    <row r="945" spans="1:1" x14ac:dyDescent="0.35">
      <c r="A945" s="3"/>
    </row>
    <row r="946" spans="1:1" x14ac:dyDescent="0.35">
      <c r="A946" s="3"/>
    </row>
    <row r="947" spans="1:1" x14ac:dyDescent="0.35">
      <c r="A947" s="3"/>
    </row>
    <row r="948" spans="1:1" x14ac:dyDescent="0.35">
      <c r="A948" s="3"/>
    </row>
    <row r="949" spans="1:1" x14ac:dyDescent="0.35">
      <c r="A949" s="3"/>
    </row>
    <row r="950" spans="1:1" x14ac:dyDescent="0.35">
      <c r="A950" s="3"/>
    </row>
    <row r="951" spans="1:1" x14ac:dyDescent="0.35">
      <c r="A951" s="3"/>
    </row>
    <row r="952" spans="1:1" x14ac:dyDescent="0.35">
      <c r="A952" s="3"/>
    </row>
    <row r="953" spans="1:1" x14ac:dyDescent="0.35">
      <c r="A953" s="3"/>
    </row>
    <row r="954" spans="1:1" x14ac:dyDescent="0.35">
      <c r="A954" s="3"/>
    </row>
    <row r="955" spans="1:1" x14ac:dyDescent="0.35">
      <c r="A955" s="3"/>
    </row>
    <row r="956" spans="1:1" x14ac:dyDescent="0.35">
      <c r="A956" s="3"/>
    </row>
    <row r="957" spans="1:1" x14ac:dyDescent="0.35">
      <c r="A957" s="3"/>
    </row>
    <row r="958" spans="1:1" x14ac:dyDescent="0.35">
      <c r="A958" s="3"/>
    </row>
    <row r="959" spans="1:1" x14ac:dyDescent="0.35">
      <c r="A959" s="3"/>
    </row>
    <row r="960" spans="1:1" x14ac:dyDescent="0.35">
      <c r="A960" s="3"/>
    </row>
    <row r="961" spans="1:1" x14ac:dyDescent="0.35">
      <c r="A961" s="3"/>
    </row>
    <row r="962" spans="1:1" x14ac:dyDescent="0.35">
      <c r="A962" s="3"/>
    </row>
    <row r="963" spans="1:1" x14ac:dyDescent="0.35">
      <c r="A963" s="3"/>
    </row>
    <row r="964" spans="1:1" x14ac:dyDescent="0.35">
      <c r="A964" s="3"/>
    </row>
    <row r="965" spans="1:1" x14ac:dyDescent="0.35">
      <c r="A965" s="3"/>
    </row>
    <row r="966" spans="1:1" x14ac:dyDescent="0.35">
      <c r="A966" s="3"/>
    </row>
    <row r="967" spans="1:1" x14ac:dyDescent="0.35">
      <c r="A967" s="3"/>
    </row>
    <row r="968" spans="1:1" x14ac:dyDescent="0.35">
      <c r="A968" s="3"/>
    </row>
    <row r="969" spans="1:1" x14ac:dyDescent="0.35">
      <c r="A969" s="3"/>
    </row>
    <row r="970" spans="1:1" x14ac:dyDescent="0.35">
      <c r="A970" s="3"/>
    </row>
    <row r="971" spans="1:1" x14ac:dyDescent="0.35">
      <c r="A971" s="3"/>
    </row>
    <row r="972" spans="1:1" x14ac:dyDescent="0.35">
      <c r="A972" s="3"/>
    </row>
    <row r="973" spans="1:1" x14ac:dyDescent="0.35">
      <c r="A973" s="3"/>
    </row>
    <row r="974" spans="1:1" x14ac:dyDescent="0.35">
      <c r="A974" s="3"/>
    </row>
    <row r="975" spans="1:1" x14ac:dyDescent="0.35">
      <c r="A975" s="3"/>
    </row>
    <row r="976" spans="1:1" x14ac:dyDescent="0.35">
      <c r="A976" s="3"/>
    </row>
    <row r="977" spans="1:1" x14ac:dyDescent="0.35">
      <c r="A977" s="3"/>
    </row>
    <row r="978" spans="1:1" x14ac:dyDescent="0.35">
      <c r="A978" s="3"/>
    </row>
    <row r="979" spans="1:1" x14ac:dyDescent="0.35">
      <c r="A979" s="3"/>
    </row>
    <row r="980" spans="1:1" x14ac:dyDescent="0.35">
      <c r="A980" s="3"/>
    </row>
    <row r="981" spans="1:1" x14ac:dyDescent="0.35">
      <c r="A981" s="3"/>
    </row>
    <row r="982" spans="1:1" x14ac:dyDescent="0.35">
      <c r="A982" s="3"/>
    </row>
    <row r="983" spans="1:1" x14ac:dyDescent="0.35">
      <c r="A983" s="3"/>
    </row>
    <row r="984" spans="1:1" x14ac:dyDescent="0.35">
      <c r="A984" s="3"/>
    </row>
    <row r="985" spans="1:1" x14ac:dyDescent="0.35">
      <c r="A985" s="3"/>
    </row>
    <row r="986" spans="1:1" x14ac:dyDescent="0.35">
      <c r="A986" s="3"/>
    </row>
    <row r="987" spans="1:1" x14ac:dyDescent="0.35">
      <c r="A987" s="3"/>
    </row>
    <row r="988" spans="1:1" x14ac:dyDescent="0.35">
      <c r="A988" s="3"/>
    </row>
    <row r="989" spans="1:1" x14ac:dyDescent="0.35">
      <c r="A989" s="3"/>
    </row>
    <row r="990" spans="1:1" x14ac:dyDescent="0.35">
      <c r="A990" s="3"/>
    </row>
    <row r="991" spans="1:1" x14ac:dyDescent="0.35">
      <c r="A991" s="3"/>
    </row>
    <row r="992" spans="1:1" x14ac:dyDescent="0.35">
      <c r="A992" s="3"/>
    </row>
    <row r="993" spans="1:1" x14ac:dyDescent="0.35">
      <c r="A993" s="3"/>
    </row>
    <row r="994" spans="1:1" x14ac:dyDescent="0.35">
      <c r="A994" s="3"/>
    </row>
    <row r="995" spans="1:1" x14ac:dyDescent="0.35">
      <c r="A995" s="3"/>
    </row>
    <row r="996" spans="1:1" x14ac:dyDescent="0.35">
      <c r="A996" s="3"/>
    </row>
    <row r="997" spans="1:1" x14ac:dyDescent="0.35">
      <c r="A997" s="3"/>
    </row>
    <row r="998" spans="1:1" x14ac:dyDescent="0.35">
      <c r="A998" s="3"/>
    </row>
    <row r="999" spans="1:1" x14ac:dyDescent="0.35">
      <c r="A999" s="3"/>
    </row>
    <row r="1000" spans="1:1" x14ac:dyDescent="0.35">
      <c r="A1000" s="3"/>
    </row>
    <row r="1001" spans="1:1" x14ac:dyDescent="0.35">
      <c r="A1001" s="3"/>
    </row>
    <row r="1002" spans="1:1" x14ac:dyDescent="0.35">
      <c r="A1002" s="3"/>
    </row>
    <row r="1003" spans="1:1" x14ac:dyDescent="0.35">
      <c r="A1003" s="3"/>
    </row>
    <row r="1004" spans="1:1" x14ac:dyDescent="0.35">
      <c r="A1004" s="3"/>
    </row>
    <row r="1005" spans="1:1" x14ac:dyDescent="0.35">
      <c r="A1005" s="3"/>
    </row>
    <row r="1006" spans="1:1" x14ac:dyDescent="0.35">
      <c r="A1006" s="3"/>
    </row>
    <row r="1007" spans="1:1" x14ac:dyDescent="0.35">
      <c r="A1007" s="3"/>
    </row>
    <row r="1008" spans="1:1" x14ac:dyDescent="0.35">
      <c r="A1008" s="3"/>
    </row>
    <row r="1009" spans="1:1" x14ac:dyDescent="0.35">
      <c r="A1009" s="3"/>
    </row>
    <row r="1010" spans="1:1" x14ac:dyDescent="0.35">
      <c r="A1010" s="3"/>
    </row>
    <row r="1011" spans="1:1" x14ac:dyDescent="0.35">
      <c r="A1011" s="3"/>
    </row>
    <row r="1012" spans="1:1" x14ac:dyDescent="0.35">
      <c r="A1012" s="3"/>
    </row>
    <row r="1013" spans="1:1" x14ac:dyDescent="0.35">
      <c r="A1013" s="3"/>
    </row>
    <row r="1014" spans="1:1" x14ac:dyDescent="0.35">
      <c r="A1014" s="3"/>
    </row>
    <row r="1015" spans="1:1" x14ac:dyDescent="0.35">
      <c r="A1015" s="3"/>
    </row>
    <row r="1016" spans="1:1" x14ac:dyDescent="0.35">
      <c r="A1016" s="3"/>
    </row>
    <row r="1017" spans="1:1" x14ac:dyDescent="0.35">
      <c r="A1017" s="3"/>
    </row>
    <row r="1018" spans="1:1" x14ac:dyDescent="0.35">
      <c r="A1018" s="3"/>
    </row>
    <row r="1019" spans="1:1" x14ac:dyDescent="0.35">
      <c r="A1019" s="3"/>
    </row>
    <row r="1020" spans="1:1" x14ac:dyDescent="0.35">
      <c r="A1020" s="3"/>
    </row>
    <row r="1021" spans="1:1" x14ac:dyDescent="0.35">
      <c r="A1021" s="3"/>
    </row>
    <row r="1022" spans="1:1" x14ac:dyDescent="0.35">
      <c r="A1022" s="3"/>
    </row>
    <row r="1023" spans="1:1" x14ac:dyDescent="0.35">
      <c r="A1023" s="3"/>
    </row>
    <row r="1024" spans="1:1" x14ac:dyDescent="0.35">
      <c r="A1024" s="3"/>
    </row>
    <row r="1025" spans="1:1" x14ac:dyDescent="0.35">
      <c r="A1025" s="3"/>
    </row>
    <row r="1026" spans="1:1" x14ac:dyDescent="0.35">
      <c r="A1026" s="3"/>
    </row>
    <row r="1027" spans="1:1" x14ac:dyDescent="0.35">
      <c r="A1027" s="3"/>
    </row>
    <row r="1028" spans="1:1" x14ac:dyDescent="0.35">
      <c r="A1028" s="3"/>
    </row>
    <row r="1029" spans="1:1" x14ac:dyDescent="0.35">
      <c r="A1029" s="3"/>
    </row>
    <row r="1030" spans="1:1" x14ac:dyDescent="0.35">
      <c r="A1030" s="3"/>
    </row>
    <row r="1031" spans="1:1" x14ac:dyDescent="0.35">
      <c r="A1031" s="3"/>
    </row>
    <row r="1032" spans="1:1" x14ac:dyDescent="0.35">
      <c r="A1032" s="3"/>
    </row>
    <row r="1033" spans="1:1" x14ac:dyDescent="0.35">
      <c r="A1033" s="3"/>
    </row>
    <row r="1034" spans="1:1" x14ac:dyDescent="0.35">
      <c r="A1034" s="3"/>
    </row>
    <row r="1035" spans="1:1" x14ac:dyDescent="0.35">
      <c r="A1035" s="3"/>
    </row>
    <row r="1036" spans="1:1" x14ac:dyDescent="0.35">
      <c r="A1036" s="3"/>
    </row>
    <row r="1037" spans="1:1" x14ac:dyDescent="0.35">
      <c r="A1037" s="3"/>
    </row>
    <row r="1038" spans="1:1" x14ac:dyDescent="0.35">
      <c r="A1038" s="3"/>
    </row>
    <row r="1039" spans="1:1" x14ac:dyDescent="0.35">
      <c r="A1039" s="3"/>
    </row>
    <row r="1040" spans="1:1" x14ac:dyDescent="0.35">
      <c r="A1040" s="3"/>
    </row>
    <row r="1041" spans="1:1" x14ac:dyDescent="0.35">
      <c r="A1041" s="3"/>
    </row>
    <row r="1042" spans="1:1" x14ac:dyDescent="0.35">
      <c r="A1042" s="3"/>
    </row>
    <row r="1043" spans="1:1" x14ac:dyDescent="0.35">
      <c r="A1043" s="3"/>
    </row>
    <row r="1044" spans="1:1" x14ac:dyDescent="0.35">
      <c r="A1044" s="3"/>
    </row>
    <row r="1045" spans="1:1" x14ac:dyDescent="0.35">
      <c r="A1045" s="3"/>
    </row>
    <row r="1046" spans="1:1" x14ac:dyDescent="0.35">
      <c r="A1046" s="3"/>
    </row>
    <row r="1047" spans="1:1" x14ac:dyDescent="0.35">
      <c r="A1047" s="3"/>
    </row>
    <row r="1048" spans="1:1" x14ac:dyDescent="0.35">
      <c r="A1048" s="3"/>
    </row>
    <row r="1049" spans="1:1" x14ac:dyDescent="0.35">
      <c r="A1049" s="3"/>
    </row>
    <row r="1050" spans="1:1" x14ac:dyDescent="0.35">
      <c r="A1050" s="3"/>
    </row>
    <row r="1051" spans="1:1" x14ac:dyDescent="0.35">
      <c r="A1051" s="3"/>
    </row>
    <row r="1052" spans="1:1" x14ac:dyDescent="0.35">
      <c r="A1052" s="3"/>
    </row>
    <row r="1053" spans="1:1" x14ac:dyDescent="0.35">
      <c r="A1053" s="3"/>
    </row>
    <row r="1054" spans="1:1" x14ac:dyDescent="0.35">
      <c r="A1054" s="10"/>
    </row>
    <row r="1055" spans="1:1" x14ac:dyDescent="0.35">
      <c r="A1055" s="10"/>
    </row>
    <row r="1056" spans="1:1" x14ac:dyDescent="0.35">
      <c r="A1056" s="10"/>
    </row>
    <row r="1057" spans="1:1" x14ac:dyDescent="0.35">
      <c r="A1057" s="10"/>
    </row>
    <row r="1058" spans="1:1" x14ac:dyDescent="0.35">
      <c r="A1058" s="10"/>
    </row>
    <row r="1059" spans="1:1" x14ac:dyDescent="0.35">
      <c r="A1059" s="10"/>
    </row>
    <row r="1060" spans="1:1" x14ac:dyDescent="0.35">
      <c r="A1060" s="10"/>
    </row>
    <row r="1061" spans="1:1" x14ac:dyDescent="0.35">
      <c r="A1061" s="10"/>
    </row>
    <row r="1062" spans="1:1" x14ac:dyDescent="0.35">
      <c r="A1062" s="10"/>
    </row>
    <row r="1063" spans="1:1" x14ac:dyDescent="0.35">
      <c r="A1063" s="10"/>
    </row>
    <row r="1064" spans="1:1" x14ac:dyDescent="0.35">
      <c r="A1064" s="10"/>
    </row>
    <row r="1065" spans="1:1" x14ac:dyDescent="0.35">
      <c r="A1065" s="10"/>
    </row>
    <row r="1066" spans="1:1" x14ac:dyDescent="0.35">
      <c r="A1066" s="3"/>
    </row>
    <row r="1067" spans="1:1" x14ac:dyDescent="0.35">
      <c r="A1067" s="3"/>
    </row>
    <row r="1068" spans="1:1" x14ac:dyDescent="0.35">
      <c r="A1068" s="3"/>
    </row>
    <row r="1069" spans="1:1" x14ac:dyDescent="0.35">
      <c r="A1069" s="3"/>
    </row>
    <row r="1070" spans="1:1" x14ac:dyDescent="0.35">
      <c r="A1070" s="3"/>
    </row>
    <row r="1071" spans="1:1" x14ac:dyDescent="0.35">
      <c r="A1071" s="3"/>
    </row>
    <row r="1072" spans="1:1" x14ac:dyDescent="0.35">
      <c r="A1072" s="3"/>
    </row>
    <row r="1073" spans="1:1" x14ac:dyDescent="0.35">
      <c r="A1073" s="3"/>
    </row>
    <row r="1074" spans="1:1" x14ac:dyDescent="0.35">
      <c r="A1074" s="3"/>
    </row>
    <row r="1075" spans="1:1" x14ac:dyDescent="0.35">
      <c r="A1075" s="3"/>
    </row>
    <row r="1076" spans="1:1" x14ac:dyDescent="0.35">
      <c r="A1076" s="3"/>
    </row>
    <row r="1077" spans="1:1" x14ac:dyDescent="0.35">
      <c r="A1077" s="3"/>
    </row>
    <row r="1078" spans="1:1" x14ac:dyDescent="0.35">
      <c r="A1078" s="10"/>
    </row>
    <row r="1079" spans="1:1" x14ac:dyDescent="0.35">
      <c r="A1079" s="10"/>
    </row>
    <row r="1080" spans="1:1" x14ac:dyDescent="0.35">
      <c r="A1080" s="10"/>
    </row>
    <row r="1081" spans="1:1" x14ac:dyDescent="0.35">
      <c r="A1081" s="10"/>
    </row>
    <row r="1082" spans="1:1" x14ac:dyDescent="0.35">
      <c r="A1082" s="10"/>
    </row>
    <row r="1083" spans="1:1" x14ac:dyDescent="0.35">
      <c r="A1083" s="10"/>
    </row>
    <row r="1084" spans="1:1" x14ac:dyDescent="0.35">
      <c r="A1084" s="10"/>
    </row>
    <row r="1085" spans="1:1" x14ac:dyDescent="0.35">
      <c r="A1085" s="10"/>
    </row>
    <row r="1086" spans="1:1" x14ac:dyDescent="0.35">
      <c r="A1086" s="10"/>
    </row>
    <row r="1087" spans="1:1" x14ac:dyDescent="0.35">
      <c r="A1087" s="10"/>
    </row>
    <row r="1088" spans="1:1" x14ac:dyDescent="0.35">
      <c r="A1088" s="10"/>
    </row>
    <row r="1089" spans="1:1" x14ac:dyDescent="0.35">
      <c r="A1089" s="10"/>
    </row>
    <row r="1090" spans="1:1" x14ac:dyDescent="0.35">
      <c r="A1090" s="3"/>
    </row>
    <row r="1091" spans="1:1" x14ac:dyDescent="0.35">
      <c r="A1091" s="3"/>
    </row>
    <row r="1092" spans="1:1" x14ac:dyDescent="0.35">
      <c r="A1092" s="3"/>
    </row>
    <row r="1093" spans="1:1" x14ac:dyDescent="0.35">
      <c r="A1093" s="3"/>
    </row>
    <row r="1094" spans="1:1" x14ac:dyDescent="0.35">
      <c r="A1094" s="3"/>
    </row>
    <row r="1095" spans="1:1" x14ac:dyDescent="0.35">
      <c r="A1095" s="3"/>
    </row>
    <row r="1096" spans="1:1" x14ac:dyDescent="0.35">
      <c r="A1096" s="10"/>
    </row>
    <row r="1097" spans="1:1" x14ac:dyDescent="0.35">
      <c r="A1097" s="10"/>
    </row>
    <row r="1098" spans="1:1" x14ac:dyDescent="0.35">
      <c r="A1098" s="10"/>
    </row>
    <row r="1099" spans="1:1" x14ac:dyDescent="0.35">
      <c r="A1099" s="10"/>
    </row>
    <row r="1100" spans="1:1" x14ac:dyDescent="0.35">
      <c r="A1100" s="10"/>
    </row>
    <row r="1101" spans="1:1" x14ac:dyDescent="0.35">
      <c r="A1101" s="10"/>
    </row>
    <row r="1102" spans="1:1" x14ac:dyDescent="0.35">
      <c r="A1102" s="3"/>
    </row>
    <row r="1103" spans="1:1" x14ac:dyDescent="0.35">
      <c r="A1103" s="3"/>
    </row>
    <row r="1104" spans="1:1" x14ac:dyDescent="0.35">
      <c r="A1104" s="3"/>
    </row>
    <row r="1105" spans="1:1" x14ac:dyDescent="0.35">
      <c r="A1105" s="3"/>
    </row>
    <row r="1106" spans="1:1" x14ac:dyDescent="0.35">
      <c r="A1106" s="3"/>
    </row>
    <row r="1107" spans="1:1" x14ac:dyDescent="0.35">
      <c r="A1107" s="3"/>
    </row>
    <row r="1108" spans="1:1" x14ac:dyDescent="0.35">
      <c r="A1108" s="3"/>
    </row>
    <row r="1109" spans="1:1" x14ac:dyDescent="0.35">
      <c r="A1109" s="3"/>
    </row>
    <row r="1110" spans="1:1" x14ac:dyDescent="0.35">
      <c r="A1110" s="3"/>
    </row>
    <row r="1111" spans="1:1" x14ac:dyDescent="0.35">
      <c r="A1111" s="3"/>
    </row>
    <row r="1112" spans="1:1" x14ac:dyDescent="0.35">
      <c r="A1112" s="3"/>
    </row>
    <row r="1113" spans="1:1" x14ac:dyDescent="0.35">
      <c r="A1113" s="3"/>
    </row>
    <row r="1114" spans="1:1" x14ac:dyDescent="0.35">
      <c r="A1114" s="10"/>
    </row>
    <row r="1115" spans="1:1" x14ac:dyDescent="0.35">
      <c r="A1115" s="10"/>
    </row>
    <row r="1116" spans="1:1" x14ac:dyDescent="0.35">
      <c r="A1116" s="10"/>
    </row>
    <row r="1117" spans="1:1" x14ac:dyDescent="0.35">
      <c r="A1117" s="10"/>
    </row>
    <row r="1118" spans="1:1" x14ac:dyDescent="0.35">
      <c r="A1118" s="10"/>
    </row>
    <row r="1119" spans="1:1" x14ac:dyDescent="0.35">
      <c r="A1119" s="10"/>
    </row>
    <row r="1120" spans="1:1" x14ac:dyDescent="0.35">
      <c r="A1120" s="10"/>
    </row>
    <row r="1121" spans="1:1" x14ac:dyDescent="0.35">
      <c r="A1121" s="10"/>
    </row>
    <row r="1122" spans="1:1" x14ac:dyDescent="0.35">
      <c r="A1122" s="10"/>
    </row>
    <row r="1123" spans="1:1" x14ac:dyDescent="0.35">
      <c r="A1123" s="10"/>
    </row>
    <row r="1124" spans="1:1" x14ac:dyDescent="0.35">
      <c r="A1124" s="10"/>
    </row>
    <row r="1125" spans="1:1" x14ac:dyDescent="0.35">
      <c r="A1125" s="10"/>
    </row>
    <row r="1126" spans="1:1" x14ac:dyDescent="0.35">
      <c r="A1126" s="10"/>
    </row>
    <row r="1127" spans="1:1" x14ac:dyDescent="0.35">
      <c r="A1127" s="10"/>
    </row>
    <row r="1128" spans="1:1" x14ac:dyDescent="0.35">
      <c r="A1128" s="10"/>
    </row>
    <row r="1129" spans="1:1" x14ac:dyDescent="0.35">
      <c r="A1129" s="10"/>
    </row>
    <row r="1130" spans="1:1" x14ac:dyDescent="0.35">
      <c r="A1130" s="10"/>
    </row>
    <row r="1131" spans="1:1" x14ac:dyDescent="0.35">
      <c r="A1131" s="10"/>
    </row>
    <row r="1132" spans="1:1" x14ac:dyDescent="0.35">
      <c r="A1132" s="3"/>
    </row>
    <row r="1133" spans="1:1" x14ac:dyDescent="0.35">
      <c r="A1133" s="3"/>
    </row>
    <row r="1134" spans="1:1" x14ac:dyDescent="0.35">
      <c r="A1134" s="3"/>
    </row>
    <row r="1135" spans="1:1" x14ac:dyDescent="0.35">
      <c r="A1135" s="3"/>
    </row>
    <row r="1136" spans="1:1" x14ac:dyDescent="0.35">
      <c r="A1136" s="3"/>
    </row>
    <row r="1137" spans="1:1" x14ac:dyDescent="0.35">
      <c r="A1137" s="3"/>
    </row>
    <row r="1138" spans="1:1" x14ac:dyDescent="0.35">
      <c r="A1138" s="3"/>
    </row>
    <row r="1139" spans="1:1" x14ac:dyDescent="0.35">
      <c r="A1139" s="3"/>
    </row>
    <row r="1140" spans="1:1" x14ac:dyDescent="0.35">
      <c r="A1140" s="3"/>
    </row>
    <row r="1141" spans="1:1" x14ac:dyDescent="0.35">
      <c r="A1141" s="3"/>
    </row>
    <row r="1142" spans="1:1" x14ac:dyDescent="0.35">
      <c r="A1142" s="3"/>
    </row>
    <row r="1143" spans="1:1" x14ac:dyDescent="0.35">
      <c r="A1143" s="3"/>
    </row>
    <row r="1144" spans="1:1" x14ac:dyDescent="0.35">
      <c r="A1144" s="3"/>
    </row>
    <row r="1145" spans="1:1" x14ac:dyDescent="0.35">
      <c r="A1145" s="3"/>
    </row>
    <row r="1146" spans="1:1" x14ac:dyDescent="0.35">
      <c r="A1146" s="3"/>
    </row>
    <row r="1147" spans="1:1" x14ac:dyDescent="0.35">
      <c r="A1147" s="3"/>
    </row>
    <row r="1148" spans="1:1" x14ac:dyDescent="0.35">
      <c r="A1148" s="3"/>
    </row>
    <row r="1149" spans="1:1" x14ac:dyDescent="0.35">
      <c r="A1149" s="3"/>
    </row>
    <row r="1150" spans="1:1" x14ac:dyDescent="0.35">
      <c r="A1150" s="3"/>
    </row>
    <row r="1151" spans="1:1" x14ac:dyDescent="0.35">
      <c r="A1151" s="3"/>
    </row>
    <row r="1152" spans="1:1" x14ac:dyDescent="0.35">
      <c r="A1152" s="3"/>
    </row>
    <row r="1153" spans="1:1" x14ac:dyDescent="0.35">
      <c r="A1153" s="3"/>
    </row>
    <row r="1154" spans="1:1" x14ac:dyDescent="0.35">
      <c r="A1154" s="3"/>
    </row>
    <row r="1155" spans="1:1" x14ac:dyDescent="0.35">
      <c r="A1155" s="3"/>
    </row>
    <row r="1156" spans="1:1" x14ac:dyDescent="0.35">
      <c r="A1156" s="3"/>
    </row>
    <row r="1157" spans="1:1" x14ac:dyDescent="0.35">
      <c r="A1157" s="3"/>
    </row>
    <row r="1158" spans="1:1" x14ac:dyDescent="0.35">
      <c r="A1158" s="3"/>
    </row>
    <row r="1159" spans="1:1" x14ac:dyDescent="0.35">
      <c r="A1159" s="3"/>
    </row>
    <row r="1160" spans="1:1" x14ac:dyDescent="0.35">
      <c r="A1160" s="3"/>
    </row>
    <row r="1161" spans="1:1" x14ac:dyDescent="0.35">
      <c r="A1161" s="3"/>
    </row>
    <row r="1162" spans="1:1" x14ac:dyDescent="0.35">
      <c r="A1162" s="3"/>
    </row>
    <row r="1163" spans="1:1" x14ac:dyDescent="0.35">
      <c r="A1163" s="3"/>
    </row>
    <row r="1164" spans="1:1" x14ac:dyDescent="0.35">
      <c r="A1164" s="3"/>
    </row>
    <row r="1165" spans="1:1" x14ac:dyDescent="0.35">
      <c r="A1165" s="3"/>
    </row>
    <row r="1166" spans="1:1" x14ac:dyDescent="0.35">
      <c r="A1166" s="3"/>
    </row>
    <row r="1167" spans="1:1" x14ac:dyDescent="0.35">
      <c r="A1167" s="3"/>
    </row>
    <row r="1168" spans="1:1" x14ac:dyDescent="0.35">
      <c r="A1168" s="3"/>
    </row>
    <row r="1169" spans="1:1" x14ac:dyDescent="0.35">
      <c r="A1169" s="3"/>
    </row>
    <row r="1170" spans="1:1" x14ac:dyDescent="0.35">
      <c r="A1170" s="3"/>
    </row>
    <row r="1171" spans="1:1" x14ac:dyDescent="0.35">
      <c r="A1171" s="3"/>
    </row>
    <row r="1172" spans="1:1" x14ac:dyDescent="0.35">
      <c r="A1172" s="3"/>
    </row>
    <row r="1173" spans="1:1" x14ac:dyDescent="0.35">
      <c r="A1173" s="3"/>
    </row>
    <row r="1174" spans="1:1" x14ac:dyDescent="0.35">
      <c r="A1174" s="3"/>
    </row>
    <row r="1175" spans="1:1" x14ac:dyDescent="0.35">
      <c r="A1175" s="3"/>
    </row>
    <row r="1176" spans="1:1" x14ac:dyDescent="0.35">
      <c r="A1176" s="3"/>
    </row>
    <row r="1177" spans="1:1" x14ac:dyDescent="0.35">
      <c r="A1177" s="3"/>
    </row>
    <row r="1178" spans="1:1" x14ac:dyDescent="0.35">
      <c r="A1178" s="3"/>
    </row>
    <row r="1179" spans="1:1" x14ac:dyDescent="0.35">
      <c r="A1179" s="3"/>
    </row>
    <row r="1180" spans="1:1" x14ac:dyDescent="0.35">
      <c r="A1180" s="3"/>
    </row>
    <row r="1181" spans="1:1" x14ac:dyDescent="0.35">
      <c r="A1181" s="3"/>
    </row>
    <row r="1182" spans="1:1" x14ac:dyDescent="0.35">
      <c r="A1182" s="3"/>
    </row>
    <row r="1183" spans="1:1" x14ac:dyDescent="0.35">
      <c r="A1183" s="3"/>
    </row>
    <row r="1184" spans="1:1" x14ac:dyDescent="0.35">
      <c r="A1184" s="3"/>
    </row>
    <row r="1185" spans="1:1" x14ac:dyDescent="0.35">
      <c r="A1185" s="3"/>
    </row>
    <row r="1186" spans="1:1" x14ac:dyDescent="0.35">
      <c r="A1186" s="3"/>
    </row>
    <row r="1187" spans="1:1" x14ac:dyDescent="0.35">
      <c r="A1187" s="3"/>
    </row>
    <row r="1188" spans="1:1" x14ac:dyDescent="0.35">
      <c r="A1188" s="3"/>
    </row>
    <row r="1189" spans="1:1" x14ac:dyDescent="0.35">
      <c r="A1189" s="3"/>
    </row>
    <row r="1190" spans="1:1" x14ac:dyDescent="0.35">
      <c r="A1190" s="3"/>
    </row>
    <row r="1191" spans="1:1" x14ac:dyDescent="0.35">
      <c r="A1191" s="3"/>
    </row>
    <row r="1192" spans="1:1" x14ac:dyDescent="0.35">
      <c r="A1192" s="3"/>
    </row>
    <row r="1193" spans="1:1" x14ac:dyDescent="0.35">
      <c r="A1193" s="3"/>
    </row>
    <row r="1194" spans="1:1" x14ac:dyDescent="0.35">
      <c r="A1194" s="3"/>
    </row>
    <row r="1195" spans="1:1" x14ac:dyDescent="0.35">
      <c r="A1195" s="3"/>
    </row>
    <row r="1196" spans="1:1" x14ac:dyDescent="0.35">
      <c r="A1196" s="3"/>
    </row>
    <row r="1197" spans="1:1" x14ac:dyDescent="0.35">
      <c r="A1197" s="3"/>
    </row>
    <row r="1198" spans="1:1" x14ac:dyDescent="0.35">
      <c r="A1198" s="3"/>
    </row>
    <row r="1199" spans="1:1" x14ac:dyDescent="0.35">
      <c r="A1199" s="3"/>
    </row>
    <row r="1200" spans="1:1" x14ac:dyDescent="0.35">
      <c r="A1200" s="3"/>
    </row>
    <row r="1201" spans="1:1" x14ac:dyDescent="0.35">
      <c r="A1201" s="3"/>
    </row>
    <row r="1202" spans="1:1" x14ac:dyDescent="0.35">
      <c r="A1202" s="10"/>
    </row>
    <row r="1203" spans="1:1" x14ac:dyDescent="0.35">
      <c r="A1203" s="10"/>
    </row>
    <row r="1204" spans="1:1" x14ac:dyDescent="0.35">
      <c r="A1204" s="10"/>
    </row>
    <row r="1205" spans="1:1" x14ac:dyDescent="0.35">
      <c r="A1205" s="10"/>
    </row>
    <row r="1206" spans="1:1" x14ac:dyDescent="0.35">
      <c r="A1206" s="3"/>
    </row>
    <row r="1207" spans="1:1" x14ac:dyDescent="0.35">
      <c r="A1207" s="10"/>
    </row>
    <row r="1208" spans="1:1" x14ac:dyDescent="0.35">
      <c r="A1208" s="10"/>
    </row>
    <row r="1209" spans="1:1" x14ac:dyDescent="0.35">
      <c r="A1209" s="10"/>
    </row>
    <row r="1210" spans="1:1" x14ac:dyDescent="0.35">
      <c r="A1210" s="10"/>
    </row>
    <row r="1211" spans="1:1" x14ac:dyDescent="0.35">
      <c r="A1211" s="10"/>
    </row>
    <row r="1212" spans="1:1" x14ac:dyDescent="0.35">
      <c r="A1212" s="10"/>
    </row>
    <row r="1213" spans="1:1" x14ac:dyDescent="0.35">
      <c r="A1213" s="10"/>
    </row>
    <row r="1214" spans="1:1" x14ac:dyDescent="0.35">
      <c r="A1214" s="10"/>
    </row>
    <row r="1215" spans="1:1" x14ac:dyDescent="0.35">
      <c r="A1215" s="10"/>
    </row>
    <row r="1216" spans="1:1" x14ac:dyDescent="0.35">
      <c r="A1216" s="10"/>
    </row>
    <row r="1217" spans="1:1" x14ac:dyDescent="0.35">
      <c r="A1217" s="10"/>
    </row>
    <row r="1218" spans="1:1" x14ac:dyDescent="0.35">
      <c r="A1218" s="10"/>
    </row>
    <row r="1219" spans="1:1" x14ac:dyDescent="0.35">
      <c r="A1219" s="10"/>
    </row>
    <row r="1220" spans="1:1" x14ac:dyDescent="0.35">
      <c r="A1220" s="10"/>
    </row>
    <row r="1221" spans="1:1" x14ac:dyDescent="0.35">
      <c r="A1221" s="10"/>
    </row>
    <row r="1222" spans="1:1" x14ac:dyDescent="0.35">
      <c r="A1222" s="10"/>
    </row>
    <row r="1223" spans="1:1" x14ac:dyDescent="0.35">
      <c r="A1223" s="10"/>
    </row>
    <row r="1224" spans="1:1" x14ac:dyDescent="0.35">
      <c r="A1224" s="10"/>
    </row>
    <row r="1225" spans="1:1" x14ac:dyDescent="0.35">
      <c r="A1225" s="10"/>
    </row>
    <row r="1226" spans="1:1" x14ac:dyDescent="0.35">
      <c r="A1226" s="10"/>
    </row>
    <row r="1227" spans="1:1" x14ac:dyDescent="0.35">
      <c r="A1227" s="10"/>
    </row>
    <row r="1228" spans="1:1" x14ac:dyDescent="0.35">
      <c r="A1228" s="10"/>
    </row>
    <row r="1229" spans="1:1" x14ac:dyDescent="0.35">
      <c r="A1229" s="10"/>
    </row>
    <row r="1230" spans="1:1" x14ac:dyDescent="0.35">
      <c r="A1230" s="10"/>
    </row>
    <row r="1231" spans="1:1" x14ac:dyDescent="0.35">
      <c r="A1231" s="10"/>
    </row>
    <row r="1232" spans="1:1" x14ac:dyDescent="0.35">
      <c r="A1232" s="10"/>
    </row>
    <row r="1233" spans="1:1" x14ac:dyDescent="0.35">
      <c r="A1233" s="10"/>
    </row>
    <row r="1234" spans="1:1" x14ac:dyDescent="0.35">
      <c r="A1234" s="10"/>
    </row>
    <row r="1235" spans="1:1" x14ac:dyDescent="0.35">
      <c r="A1235" s="10"/>
    </row>
    <row r="1236" spans="1:1" x14ac:dyDescent="0.35">
      <c r="A1236" s="3"/>
    </row>
    <row r="1237" spans="1:1" x14ac:dyDescent="0.35">
      <c r="A1237" s="3"/>
    </row>
    <row r="1238" spans="1:1" x14ac:dyDescent="0.35">
      <c r="A1238" s="3"/>
    </row>
    <row r="1239" spans="1:1" x14ac:dyDescent="0.35">
      <c r="A1239" s="10"/>
    </row>
    <row r="1240" spans="1:1" x14ac:dyDescent="0.35">
      <c r="A1240" s="10"/>
    </row>
    <row r="1241" spans="1:1" x14ac:dyDescent="0.35">
      <c r="A1241" s="10"/>
    </row>
    <row r="1242" spans="1:1" x14ac:dyDescent="0.35">
      <c r="A1242" s="10"/>
    </row>
    <row r="1243" spans="1:1" x14ac:dyDescent="0.35">
      <c r="A1243" s="10"/>
    </row>
    <row r="1244" spans="1:1" x14ac:dyDescent="0.35">
      <c r="A1244" s="10"/>
    </row>
    <row r="1245" spans="1:1" x14ac:dyDescent="0.35">
      <c r="A1245" s="3"/>
    </row>
    <row r="1246" spans="1:1" x14ac:dyDescent="0.35">
      <c r="A1246" s="10"/>
    </row>
    <row r="1247" spans="1:1" x14ac:dyDescent="0.35">
      <c r="A1247" s="10"/>
    </row>
    <row r="1248" spans="1:1" x14ac:dyDescent="0.35">
      <c r="A1248" s="10"/>
    </row>
    <row r="1249" spans="1:1" x14ac:dyDescent="0.35">
      <c r="A1249" s="10"/>
    </row>
    <row r="1250" spans="1:1" x14ac:dyDescent="0.35">
      <c r="A1250" s="10"/>
    </row>
    <row r="1251" spans="1:1" x14ac:dyDescent="0.35">
      <c r="A1251" s="10"/>
    </row>
    <row r="1252" spans="1:1" x14ac:dyDescent="0.35">
      <c r="A1252" s="10"/>
    </row>
    <row r="1253" spans="1:1" x14ac:dyDescent="0.35">
      <c r="A1253" s="10"/>
    </row>
    <row r="1254" spans="1:1" x14ac:dyDescent="0.35">
      <c r="A1254" s="10"/>
    </row>
    <row r="1255" spans="1:1" x14ac:dyDescent="0.35">
      <c r="A1255" s="10"/>
    </row>
    <row r="1256" spans="1:1" x14ac:dyDescent="0.35">
      <c r="A1256" s="10"/>
    </row>
    <row r="1257" spans="1:1" x14ac:dyDescent="0.35">
      <c r="A1257" s="10"/>
    </row>
    <row r="1258" spans="1:1" x14ac:dyDescent="0.35">
      <c r="A1258" s="10"/>
    </row>
    <row r="1259" spans="1:1" x14ac:dyDescent="0.35">
      <c r="A1259" s="10"/>
    </row>
    <row r="1260" spans="1:1" x14ac:dyDescent="0.35">
      <c r="A1260" s="10"/>
    </row>
    <row r="1261" spans="1:1" x14ac:dyDescent="0.35">
      <c r="A1261" s="10"/>
    </row>
    <row r="1262" spans="1:1" x14ac:dyDescent="0.35">
      <c r="A1262" s="10"/>
    </row>
    <row r="1263" spans="1:1" x14ac:dyDescent="0.35">
      <c r="A1263" s="10"/>
    </row>
    <row r="1264" spans="1:1" x14ac:dyDescent="0.35">
      <c r="A1264" s="10"/>
    </row>
    <row r="1265" spans="1:1" x14ac:dyDescent="0.35">
      <c r="A1265" s="10"/>
    </row>
    <row r="1266" spans="1:1" x14ac:dyDescent="0.35">
      <c r="A1266" s="10"/>
    </row>
    <row r="1267" spans="1:1" x14ac:dyDescent="0.35">
      <c r="A1267" s="10"/>
    </row>
    <row r="1268" spans="1:1" x14ac:dyDescent="0.35">
      <c r="A1268" s="10"/>
    </row>
    <row r="1269" spans="1:1" x14ac:dyDescent="0.35">
      <c r="A1269" s="10"/>
    </row>
    <row r="1270" spans="1:1" x14ac:dyDescent="0.35">
      <c r="A1270" s="10"/>
    </row>
    <row r="1271" spans="1:1" x14ac:dyDescent="0.35">
      <c r="A1271" s="10"/>
    </row>
    <row r="1272" spans="1:1" x14ac:dyDescent="0.35">
      <c r="A1272" s="10"/>
    </row>
    <row r="1273" spans="1:1" x14ac:dyDescent="0.35">
      <c r="A1273" s="10"/>
    </row>
    <row r="1274" spans="1:1" x14ac:dyDescent="0.35">
      <c r="A1274" s="10"/>
    </row>
    <row r="1275" spans="1:1" x14ac:dyDescent="0.35">
      <c r="A1275" s="10"/>
    </row>
    <row r="1276" spans="1:1" x14ac:dyDescent="0.35">
      <c r="A1276" s="10"/>
    </row>
    <row r="1277" spans="1:1" x14ac:dyDescent="0.35">
      <c r="A1277" s="10"/>
    </row>
    <row r="1278" spans="1:1" x14ac:dyDescent="0.35">
      <c r="A1278" s="10"/>
    </row>
    <row r="1279" spans="1:1" x14ac:dyDescent="0.35">
      <c r="A1279" s="10"/>
    </row>
    <row r="1280" spans="1:1" x14ac:dyDescent="0.35">
      <c r="A1280" s="10"/>
    </row>
    <row r="1281" spans="1:1" x14ac:dyDescent="0.35">
      <c r="A1281" s="10"/>
    </row>
    <row r="1282" spans="1:1" x14ac:dyDescent="0.35">
      <c r="A1282" s="10"/>
    </row>
    <row r="1283" spans="1:1" x14ac:dyDescent="0.35">
      <c r="A1283" s="10"/>
    </row>
    <row r="1284" spans="1:1" x14ac:dyDescent="0.35">
      <c r="A1284" s="10"/>
    </row>
    <row r="1285" spans="1:1" x14ac:dyDescent="0.35">
      <c r="A1285" s="10"/>
    </row>
    <row r="1286" spans="1:1" x14ac:dyDescent="0.35">
      <c r="A1286" s="10"/>
    </row>
    <row r="1287" spans="1:1" x14ac:dyDescent="0.35">
      <c r="A1287" s="10"/>
    </row>
    <row r="1288" spans="1:1" x14ac:dyDescent="0.35">
      <c r="A1288" s="10"/>
    </row>
    <row r="1289" spans="1:1" x14ac:dyDescent="0.35">
      <c r="A1289" s="10"/>
    </row>
    <row r="1290" spans="1:1" x14ac:dyDescent="0.35">
      <c r="A1290" s="10"/>
    </row>
    <row r="1291" spans="1:1" x14ac:dyDescent="0.35">
      <c r="A1291" s="10"/>
    </row>
    <row r="1292" spans="1:1" x14ac:dyDescent="0.35">
      <c r="A1292" s="10"/>
    </row>
    <row r="1293" spans="1:1" x14ac:dyDescent="0.35">
      <c r="A1293" s="10"/>
    </row>
    <row r="1294" spans="1:1" x14ac:dyDescent="0.35">
      <c r="A1294" s="10"/>
    </row>
    <row r="1295" spans="1:1" x14ac:dyDescent="0.35">
      <c r="A1295" s="10"/>
    </row>
    <row r="1296" spans="1:1" x14ac:dyDescent="0.35">
      <c r="A1296" s="10"/>
    </row>
    <row r="1297" spans="1:1" x14ac:dyDescent="0.35">
      <c r="A1297" s="10"/>
    </row>
    <row r="1298" spans="1:1" x14ac:dyDescent="0.35">
      <c r="A1298" s="10"/>
    </row>
    <row r="1299" spans="1:1" x14ac:dyDescent="0.35">
      <c r="A1299" s="10"/>
    </row>
    <row r="1300" spans="1:1" x14ac:dyDescent="0.35">
      <c r="A1300" s="10"/>
    </row>
    <row r="1301" spans="1:1" x14ac:dyDescent="0.35">
      <c r="A1301" s="10"/>
    </row>
    <row r="1302" spans="1:1" x14ac:dyDescent="0.35">
      <c r="A1302" s="10"/>
    </row>
    <row r="1303" spans="1:1" x14ac:dyDescent="0.35">
      <c r="A1303" s="10"/>
    </row>
    <row r="1304" spans="1:1" x14ac:dyDescent="0.35">
      <c r="A1304" s="10"/>
    </row>
    <row r="1305" spans="1:1" x14ac:dyDescent="0.35">
      <c r="A1305" s="10"/>
    </row>
    <row r="1306" spans="1:1" x14ac:dyDescent="0.35">
      <c r="A1306" s="10"/>
    </row>
    <row r="1307" spans="1:1" x14ac:dyDescent="0.35">
      <c r="A1307" s="10"/>
    </row>
    <row r="1308" spans="1:1" x14ac:dyDescent="0.35">
      <c r="A1308" s="10"/>
    </row>
    <row r="1309" spans="1:1" x14ac:dyDescent="0.35">
      <c r="A1309" s="10"/>
    </row>
    <row r="1310" spans="1:1" x14ac:dyDescent="0.35">
      <c r="A1310" s="10"/>
    </row>
    <row r="1311" spans="1:1" x14ac:dyDescent="0.35">
      <c r="A1311" s="10"/>
    </row>
    <row r="1312" spans="1:1" x14ac:dyDescent="0.35">
      <c r="A1312" s="10"/>
    </row>
    <row r="1313" spans="1:1" x14ac:dyDescent="0.35">
      <c r="A1313" s="10"/>
    </row>
    <row r="1314" spans="1:1" x14ac:dyDescent="0.35">
      <c r="A1314" s="10"/>
    </row>
    <row r="1315" spans="1:1" x14ac:dyDescent="0.35">
      <c r="A1315" s="10"/>
    </row>
    <row r="1316" spans="1:1" x14ac:dyDescent="0.35">
      <c r="A1316" s="10"/>
    </row>
    <row r="1317" spans="1:1" x14ac:dyDescent="0.35">
      <c r="A1317" s="10"/>
    </row>
    <row r="1318" spans="1:1" x14ac:dyDescent="0.35">
      <c r="A1318" s="10"/>
    </row>
    <row r="1319" spans="1:1" x14ac:dyDescent="0.35">
      <c r="A1319" s="10"/>
    </row>
    <row r="1320" spans="1:1" x14ac:dyDescent="0.35">
      <c r="A1320" s="10"/>
    </row>
    <row r="1321" spans="1:1" x14ac:dyDescent="0.35">
      <c r="A1321" s="10"/>
    </row>
    <row r="1322" spans="1:1" x14ac:dyDescent="0.35">
      <c r="A1322" s="10"/>
    </row>
    <row r="1323" spans="1:1" x14ac:dyDescent="0.35">
      <c r="A1323" s="10"/>
    </row>
    <row r="1324" spans="1:1" x14ac:dyDescent="0.35">
      <c r="A1324" s="10"/>
    </row>
    <row r="1325" spans="1:1" x14ac:dyDescent="0.35">
      <c r="A1325" s="10"/>
    </row>
    <row r="1326" spans="1:1" x14ac:dyDescent="0.35">
      <c r="A1326" s="10"/>
    </row>
    <row r="1327" spans="1:1" x14ac:dyDescent="0.35">
      <c r="A1327" s="10"/>
    </row>
    <row r="1328" spans="1:1" x14ac:dyDescent="0.35">
      <c r="A1328" s="10"/>
    </row>
    <row r="1329" spans="1:1" x14ac:dyDescent="0.35">
      <c r="A1329" s="10"/>
    </row>
    <row r="1330" spans="1:1" x14ac:dyDescent="0.35">
      <c r="A1330" s="10"/>
    </row>
    <row r="1331" spans="1:1" x14ac:dyDescent="0.35">
      <c r="A1331" s="10"/>
    </row>
    <row r="1332" spans="1:1" x14ac:dyDescent="0.35">
      <c r="A1332" s="10"/>
    </row>
    <row r="1333" spans="1:1" x14ac:dyDescent="0.35">
      <c r="A1333" s="10"/>
    </row>
    <row r="1334" spans="1:1" x14ac:dyDescent="0.35">
      <c r="A1334" s="10"/>
    </row>
    <row r="1335" spans="1:1" x14ac:dyDescent="0.35">
      <c r="A1335" s="10"/>
    </row>
    <row r="1336" spans="1:1" x14ac:dyDescent="0.35">
      <c r="A1336" s="3"/>
    </row>
    <row r="1337" spans="1:1" x14ac:dyDescent="0.35">
      <c r="A1337" s="3"/>
    </row>
    <row r="1338" spans="1:1" x14ac:dyDescent="0.35">
      <c r="A1338" s="3"/>
    </row>
    <row r="1339" spans="1:1" x14ac:dyDescent="0.35">
      <c r="A1339" s="10"/>
    </row>
    <row r="1340" spans="1:1" x14ac:dyDescent="0.35">
      <c r="A1340" s="10"/>
    </row>
    <row r="1341" spans="1:1" x14ac:dyDescent="0.35">
      <c r="A1341" s="10"/>
    </row>
    <row r="1342" spans="1:1" x14ac:dyDescent="0.35">
      <c r="A1342" s="10"/>
    </row>
    <row r="1343" spans="1:1" x14ac:dyDescent="0.35">
      <c r="A1343" s="10"/>
    </row>
    <row r="1344" spans="1:1" x14ac:dyDescent="0.35">
      <c r="A1344" s="10"/>
    </row>
    <row r="1345" spans="1:1" x14ac:dyDescent="0.35">
      <c r="A1345" s="10"/>
    </row>
    <row r="1346" spans="1:1" x14ac:dyDescent="0.35">
      <c r="A1346" s="10"/>
    </row>
    <row r="1347" spans="1:1" x14ac:dyDescent="0.35">
      <c r="A1347" s="10"/>
    </row>
    <row r="1348" spans="1:1" x14ac:dyDescent="0.35">
      <c r="A1348" s="10"/>
    </row>
    <row r="1349" spans="1:1" x14ac:dyDescent="0.35">
      <c r="A1349" s="10"/>
    </row>
    <row r="1350" spans="1:1" x14ac:dyDescent="0.35">
      <c r="A1350" s="10"/>
    </row>
    <row r="1351" spans="1:1" x14ac:dyDescent="0.35">
      <c r="A1351" s="10"/>
    </row>
    <row r="1352" spans="1:1" x14ac:dyDescent="0.35">
      <c r="A1352" s="10"/>
    </row>
  </sheetData>
  <autoFilter ref="B1:B1274" xr:uid="{9BE1E6AC-5EB7-406D-BD96-D65875C32D9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84F98-491D-4BB0-9B68-56794BF52E64}">
  <sheetPr codeName="Sheet12"/>
  <dimension ref="A1:E87"/>
  <sheetViews>
    <sheetView workbookViewId="0">
      <selection activeCell="A18" sqref="A18:XFD18"/>
    </sheetView>
  </sheetViews>
  <sheetFormatPr defaultRowHeight="14.5" x14ac:dyDescent="0.35"/>
  <cols>
    <col min="1" max="1" width="15.36328125" style="1" customWidth="1"/>
    <col min="2" max="2" width="22.54296875" style="1" customWidth="1"/>
    <col min="3" max="3" width="11" style="1" customWidth="1"/>
    <col min="4" max="4" width="9.81640625" style="1" customWidth="1"/>
    <col min="5" max="5" width="11.36328125" style="1" customWidth="1"/>
    <col min="6" max="16384" width="8.7265625" style="1"/>
  </cols>
  <sheetData>
    <row r="1" spans="1:5" x14ac:dyDescent="0.35">
      <c r="A1" s="4" t="s">
        <v>0</v>
      </c>
      <c r="B1" s="4" t="s">
        <v>113</v>
      </c>
      <c r="C1" s="4" t="s">
        <v>99</v>
      </c>
      <c r="D1" s="4" t="s">
        <v>100</v>
      </c>
      <c r="E1" s="4" t="s">
        <v>101</v>
      </c>
    </row>
    <row r="2" spans="1:5" x14ac:dyDescent="0.35">
      <c r="A2" s="10">
        <v>46027</v>
      </c>
      <c r="B2" s="1" t="s">
        <v>57</v>
      </c>
      <c r="C2" s="1">
        <v>1</v>
      </c>
      <c r="D2" s="1">
        <v>0</v>
      </c>
      <c r="E2" s="1">
        <v>1</v>
      </c>
    </row>
    <row r="3" spans="1:5" x14ac:dyDescent="0.35">
      <c r="A3" s="10">
        <v>46027</v>
      </c>
      <c r="B3" s="1" t="s">
        <v>9</v>
      </c>
      <c r="C3" s="1">
        <v>1</v>
      </c>
      <c r="D3" s="1">
        <v>0</v>
      </c>
      <c r="E3" s="1">
        <v>1</v>
      </c>
    </row>
    <row r="4" spans="1:5" x14ac:dyDescent="0.35">
      <c r="A4" s="10">
        <v>46027</v>
      </c>
      <c r="B4" s="1" t="s">
        <v>58</v>
      </c>
      <c r="C4" s="1">
        <v>1</v>
      </c>
      <c r="D4" s="1">
        <v>0</v>
      </c>
      <c r="E4" s="1">
        <v>1</v>
      </c>
    </row>
    <row r="5" spans="1:5" x14ac:dyDescent="0.35">
      <c r="A5" s="10">
        <v>46027</v>
      </c>
      <c r="B5" s="1" t="s">
        <v>8</v>
      </c>
      <c r="C5" s="1">
        <v>1</v>
      </c>
      <c r="D5" s="1">
        <v>0</v>
      </c>
      <c r="E5" s="1">
        <v>1</v>
      </c>
    </row>
    <row r="6" spans="1:5" x14ac:dyDescent="0.35">
      <c r="A6" s="10">
        <v>46028</v>
      </c>
      <c r="B6" s="1" t="s">
        <v>7</v>
      </c>
      <c r="C6" s="1">
        <v>1</v>
      </c>
      <c r="D6" s="1">
        <v>0</v>
      </c>
      <c r="E6" s="1">
        <v>1</v>
      </c>
    </row>
    <row r="7" spans="1:5" x14ac:dyDescent="0.35">
      <c r="A7" s="10">
        <v>46028</v>
      </c>
      <c r="B7" s="1" t="s">
        <v>59</v>
      </c>
      <c r="C7" s="1">
        <v>2</v>
      </c>
      <c r="D7" s="1">
        <v>0</v>
      </c>
      <c r="E7" s="1">
        <v>2</v>
      </c>
    </row>
    <row r="8" spans="1:5" x14ac:dyDescent="0.35">
      <c r="A8" s="10">
        <v>46029</v>
      </c>
      <c r="B8" s="1" t="s">
        <v>11</v>
      </c>
      <c r="C8" s="1">
        <v>1</v>
      </c>
      <c r="D8" s="1">
        <v>0</v>
      </c>
      <c r="E8" s="1">
        <v>1</v>
      </c>
    </row>
    <row r="9" spans="1:5" x14ac:dyDescent="0.35">
      <c r="A9" s="10">
        <v>46029</v>
      </c>
      <c r="B9" s="1" t="s">
        <v>60</v>
      </c>
      <c r="C9" s="1">
        <v>1</v>
      </c>
      <c r="D9" s="1">
        <v>0</v>
      </c>
      <c r="E9" s="1">
        <v>1</v>
      </c>
    </row>
    <row r="10" spans="1:5" x14ac:dyDescent="0.35">
      <c r="A10" s="10">
        <v>46029</v>
      </c>
      <c r="B10" s="1" t="s">
        <v>6</v>
      </c>
      <c r="C10" s="1">
        <v>1</v>
      </c>
      <c r="D10" s="1">
        <v>0</v>
      </c>
      <c r="E10" s="1">
        <v>1</v>
      </c>
    </row>
    <row r="11" spans="1:5" x14ac:dyDescent="0.35">
      <c r="A11" s="10">
        <v>46030</v>
      </c>
      <c r="B11" s="1" t="s">
        <v>62</v>
      </c>
      <c r="C11" s="1">
        <v>2</v>
      </c>
      <c r="D11" s="1">
        <v>0</v>
      </c>
      <c r="E11" s="1">
        <v>2</v>
      </c>
    </row>
    <row r="12" spans="1:5" x14ac:dyDescent="0.35">
      <c r="A12" s="10">
        <v>46030</v>
      </c>
      <c r="B12" s="1" t="s">
        <v>63</v>
      </c>
      <c r="C12" s="1">
        <v>2</v>
      </c>
      <c r="D12" s="1">
        <v>0</v>
      </c>
      <c r="E12" s="1">
        <v>2</v>
      </c>
    </row>
    <row r="13" spans="1:5" x14ac:dyDescent="0.35">
      <c r="A13" s="10">
        <v>46023</v>
      </c>
      <c r="B13" s="1" t="s">
        <v>57</v>
      </c>
      <c r="C13" s="1">
        <v>0</v>
      </c>
      <c r="D13" s="1">
        <v>1</v>
      </c>
      <c r="E13" s="1">
        <v>0</v>
      </c>
    </row>
    <row r="14" spans="1:5" x14ac:dyDescent="0.35">
      <c r="A14" s="10">
        <v>46023</v>
      </c>
      <c r="B14" s="1" t="s">
        <v>9</v>
      </c>
      <c r="C14" s="1">
        <v>0</v>
      </c>
      <c r="D14" s="1">
        <v>1</v>
      </c>
      <c r="E14" s="1">
        <v>0</v>
      </c>
    </row>
    <row r="15" spans="1:5" x14ac:dyDescent="0.35">
      <c r="A15" s="10">
        <v>46023</v>
      </c>
      <c r="B15" s="1" t="s">
        <v>58</v>
      </c>
      <c r="C15" s="1">
        <v>0</v>
      </c>
      <c r="D15" s="1">
        <v>1</v>
      </c>
      <c r="E15" s="1">
        <v>0</v>
      </c>
    </row>
    <row r="16" spans="1:5" x14ac:dyDescent="0.35">
      <c r="A16" s="10">
        <v>46023</v>
      </c>
      <c r="B16" s="1" t="s">
        <v>8</v>
      </c>
      <c r="C16" s="1">
        <v>0</v>
      </c>
      <c r="D16" s="1">
        <v>1</v>
      </c>
      <c r="E16" s="1">
        <v>0</v>
      </c>
    </row>
    <row r="17" spans="1:5" x14ac:dyDescent="0.35">
      <c r="A17" s="10">
        <v>46026</v>
      </c>
      <c r="B17" s="1" t="s">
        <v>7</v>
      </c>
      <c r="C17" s="1">
        <v>0</v>
      </c>
      <c r="D17" s="1">
        <v>1</v>
      </c>
      <c r="E17" s="1">
        <v>0</v>
      </c>
    </row>
    <row r="18" spans="1:5" x14ac:dyDescent="0.35">
      <c r="A18" s="10">
        <v>46026</v>
      </c>
      <c r="B18" s="1" t="s">
        <v>59</v>
      </c>
      <c r="C18" s="1">
        <v>0</v>
      </c>
      <c r="D18" s="1">
        <v>1</v>
      </c>
      <c r="E18" s="1">
        <v>1</v>
      </c>
    </row>
    <row r="19" spans="1:5" x14ac:dyDescent="0.35">
      <c r="A19" s="10">
        <v>46026</v>
      </c>
      <c r="B19" s="1" t="s">
        <v>11</v>
      </c>
      <c r="C19" s="1">
        <v>0</v>
      </c>
      <c r="D19" s="1">
        <v>1</v>
      </c>
      <c r="E19" s="1">
        <v>0</v>
      </c>
    </row>
    <row r="20" spans="1:5" x14ac:dyDescent="0.35">
      <c r="A20" s="10">
        <v>46027</v>
      </c>
      <c r="B20" s="1" t="s">
        <v>62</v>
      </c>
      <c r="C20" s="1">
        <v>0</v>
      </c>
      <c r="D20" s="1">
        <v>1</v>
      </c>
      <c r="E20" s="1">
        <v>1</v>
      </c>
    </row>
    <row r="21" spans="1:5" x14ac:dyDescent="0.35">
      <c r="A21" s="10">
        <v>46027</v>
      </c>
      <c r="B21" s="1" t="s">
        <v>63</v>
      </c>
      <c r="C21" s="1">
        <v>0</v>
      </c>
      <c r="D21" s="1">
        <v>1</v>
      </c>
      <c r="E21" s="1">
        <v>1</v>
      </c>
    </row>
    <row r="22" spans="1:5" x14ac:dyDescent="0.35">
      <c r="A22" s="10"/>
    </row>
    <row r="23" spans="1:5" x14ac:dyDescent="0.35">
      <c r="A23" s="10"/>
    </row>
    <row r="24" spans="1:5" x14ac:dyDescent="0.35">
      <c r="A24" s="10"/>
    </row>
    <row r="25" spans="1:5" x14ac:dyDescent="0.35">
      <c r="A25" s="10"/>
    </row>
    <row r="26" spans="1:5" x14ac:dyDescent="0.35">
      <c r="A26" s="10"/>
    </row>
    <row r="27" spans="1:5" x14ac:dyDescent="0.35">
      <c r="A27" s="10"/>
    </row>
    <row r="28" spans="1:5" x14ac:dyDescent="0.35">
      <c r="A28" s="10"/>
    </row>
    <row r="29" spans="1:5" x14ac:dyDescent="0.35">
      <c r="A29" s="10"/>
    </row>
    <row r="30" spans="1:5" x14ac:dyDescent="0.35">
      <c r="A30" s="10"/>
    </row>
    <row r="31" spans="1:5" x14ac:dyDescent="0.35">
      <c r="A31" s="10"/>
    </row>
    <row r="32" spans="1:5" x14ac:dyDescent="0.35">
      <c r="A32" s="10"/>
    </row>
    <row r="33" spans="1:1" x14ac:dyDescent="0.35">
      <c r="A33" s="10"/>
    </row>
    <row r="34" spans="1:1" x14ac:dyDescent="0.35">
      <c r="A34" s="10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10"/>
    </row>
    <row r="46" spans="1:1" x14ac:dyDescent="0.35">
      <c r="A46" s="3"/>
    </row>
    <row r="47" spans="1:1" x14ac:dyDescent="0.35">
      <c r="A47" s="10"/>
    </row>
    <row r="48" spans="1:1" x14ac:dyDescent="0.35">
      <c r="A48" s="10"/>
    </row>
    <row r="49" spans="1:1" x14ac:dyDescent="0.35">
      <c r="A49" s="10"/>
    </row>
    <row r="50" spans="1:1" x14ac:dyDescent="0.35">
      <c r="A50" s="10"/>
    </row>
    <row r="51" spans="1:1" x14ac:dyDescent="0.35">
      <c r="A51" s="10"/>
    </row>
    <row r="52" spans="1:1" x14ac:dyDescent="0.35">
      <c r="A52" s="10"/>
    </row>
    <row r="53" spans="1:1" x14ac:dyDescent="0.35">
      <c r="A53" s="10"/>
    </row>
    <row r="54" spans="1:1" x14ac:dyDescent="0.35">
      <c r="A54" s="10"/>
    </row>
    <row r="55" spans="1:1" x14ac:dyDescent="0.35">
      <c r="A55" s="10"/>
    </row>
    <row r="56" spans="1:1" x14ac:dyDescent="0.35">
      <c r="A56" s="10"/>
    </row>
    <row r="57" spans="1:1" x14ac:dyDescent="0.35">
      <c r="A57" s="10"/>
    </row>
    <row r="58" spans="1:1" x14ac:dyDescent="0.35">
      <c r="A58" s="10"/>
    </row>
    <row r="59" spans="1:1" x14ac:dyDescent="0.35">
      <c r="A59" s="10"/>
    </row>
    <row r="60" spans="1:1" x14ac:dyDescent="0.35">
      <c r="A60" s="10"/>
    </row>
    <row r="61" spans="1:1" x14ac:dyDescent="0.35">
      <c r="A61" s="10"/>
    </row>
    <row r="62" spans="1:1" x14ac:dyDescent="0.35">
      <c r="A62" s="10"/>
    </row>
    <row r="63" spans="1:1" x14ac:dyDescent="0.35">
      <c r="A63" s="10"/>
    </row>
    <row r="64" spans="1:1" x14ac:dyDescent="0.35">
      <c r="A64" s="10"/>
    </row>
    <row r="65" spans="1:1" x14ac:dyDescent="0.35">
      <c r="A65" s="10"/>
    </row>
    <row r="66" spans="1:1" x14ac:dyDescent="0.35">
      <c r="A66" s="10"/>
    </row>
    <row r="67" spans="1:1" x14ac:dyDescent="0.35">
      <c r="A67" s="10"/>
    </row>
    <row r="68" spans="1:1" x14ac:dyDescent="0.35">
      <c r="A68" s="10"/>
    </row>
    <row r="69" spans="1:1" x14ac:dyDescent="0.35">
      <c r="A69" s="10"/>
    </row>
    <row r="70" spans="1:1" x14ac:dyDescent="0.35">
      <c r="A70" s="10"/>
    </row>
    <row r="71" spans="1:1" x14ac:dyDescent="0.35">
      <c r="A71" s="10"/>
    </row>
    <row r="72" spans="1:1" x14ac:dyDescent="0.35">
      <c r="A72" s="10"/>
    </row>
    <row r="73" spans="1:1" x14ac:dyDescent="0.35">
      <c r="A73" s="10"/>
    </row>
    <row r="74" spans="1:1" x14ac:dyDescent="0.35">
      <c r="A74" s="10"/>
    </row>
    <row r="75" spans="1:1" x14ac:dyDescent="0.35">
      <c r="A75" s="10"/>
    </row>
    <row r="76" spans="1:1" x14ac:dyDescent="0.35">
      <c r="A76" s="10"/>
    </row>
    <row r="77" spans="1:1" x14ac:dyDescent="0.35">
      <c r="A77" s="10"/>
    </row>
    <row r="78" spans="1:1" x14ac:dyDescent="0.35">
      <c r="A78" s="10"/>
    </row>
    <row r="79" spans="1:1" x14ac:dyDescent="0.35">
      <c r="A79" s="10"/>
    </row>
    <row r="80" spans="1:1" x14ac:dyDescent="0.35">
      <c r="A80" s="10"/>
    </row>
    <row r="81" spans="1:1" x14ac:dyDescent="0.35">
      <c r="A81" s="10"/>
    </row>
    <row r="82" spans="1:1" x14ac:dyDescent="0.35">
      <c r="A82" s="10"/>
    </row>
    <row r="83" spans="1:1" x14ac:dyDescent="0.35">
      <c r="A83" s="10"/>
    </row>
    <row r="84" spans="1:1" x14ac:dyDescent="0.35">
      <c r="A84" s="10"/>
    </row>
    <row r="85" spans="1:1" x14ac:dyDescent="0.35">
      <c r="A85" s="10"/>
    </row>
    <row r="86" spans="1:1" x14ac:dyDescent="0.35">
      <c r="A86" s="3"/>
    </row>
    <row r="87" spans="1:1" x14ac:dyDescent="0.35">
      <c r="A87" s="10"/>
    </row>
  </sheetData>
  <autoFilter ref="B1:B67" xr:uid="{71184F98-491D-4BB0-9B68-56794BF52E64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A5678-ABCA-4169-81CE-3F52142767FF}">
  <sheetPr codeName="Sheet11"/>
  <dimension ref="A1:F357"/>
  <sheetViews>
    <sheetView workbookViewId="0">
      <selection activeCell="F2" sqref="F2"/>
    </sheetView>
  </sheetViews>
  <sheetFormatPr defaultColWidth="28.1796875" defaultRowHeight="14.5" x14ac:dyDescent="0.35"/>
  <cols>
    <col min="1" max="1" width="18.81640625" style="1" customWidth="1"/>
    <col min="2" max="5" width="28.1796875" style="1"/>
    <col min="6" max="6" width="17.36328125" style="1" customWidth="1"/>
    <col min="7" max="16384" width="28.1796875" style="1"/>
  </cols>
  <sheetData>
    <row r="1" spans="1:6" ht="15" thickBot="1" x14ac:dyDescent="0.4">
      <c r="A1" s="6" t="s">
        <v>102</v>
      </c>
      <c r="B1" s="7" t="s">
        <v>103</v>
      </c>
      <c r="C1" s="7" t="s">
        <v>104</v>
      </c>
      <c r="D1" s="7" t="s">
        <v>55</v>
      </c>
      <c r="E1" s="19" t="s">
        <v>105</v>
      </c>
      <c r="F1" s="18" t="s">
        <v>126</v>
      </c>
    </row>
    <row r="2" spans="1:6" x14ac:dyDescent="0.35">
      <c r="A2" s="1" t="s">
        <v>82</v>
      </c>
      <c r="B2" s="1" t="s">
        <v>57</v>
      </c>
      <c r="C2" s="1" t="s">
        <v>57</v>
      </c>
      <c r="D2" s="1" t="s">
        <v>17</v>
      </c>
      <c r="E2" s="8">
        <v>1</v>
      </c>
      <c r="F2" s="1">
        <f>IFERROR(AVERAGEIF(PurchaseData!D:D, C2, PurchaseData!F:F) * E2, 0)</f>
        <v>0</v>
      </c>
    </row>
    <row r="3" spans="1:6" x14ac:dyDescent="0.35">
      <c r="A3" s="1" t="s">
        <v>82</v>
      </c>
      <c r="B3" s="1" t="s">
        <v>57</v>
      </c>
      <c r="C3" s="1" t="s">
        <v>106</v>
      </c>
      <c r="D3" s="1" t="s">
        <v>19</v>
      </c>
      <c r="E3" s="8">
        <v>18</v>
      </c>
      <c r="F3" s="1">
        <f>IFERROR(AVERAGEIF(PurchaseData!D:D, C3, PurchaseData!F:F) * E3, 0)</f>
        <v>0</v>
      </c>
    </row>
    <row r="4" spans="1:6" x14ac:dyDescent="0.35">
      <c r="A4" s="1" t="s">
        <v>82</v>
      </c>
      <c r="B4" s="1" t="s">
        <v>57</v>
      </c>
      <c r="C4" s="1" t="s">
        <v>21</v>
      </c>
      <c r="D4" s="1" t="s">
        <v>22</v>
      </c>
      <c r="E4" s="8">
        <v>5.25</v>
      </c>
      <c r="F4" s="1">
        <f>IFERROR(AVERAGEIF(PurchaseData!D:D, C4, PurchaseData!F:F) * E4, 0)</f>
        <v>1050</v>
      </c>
    </row>
    <row r="5" spans="1:6" x14ac:dyDescent="0.35">
      <c r="A5" s="1" t="s">
        <v>82</v>
      </c>
      <c r="B5" s="1" t="s">
        <v>57</v>
      </c>
      <c r="C5" s="1" t="s">
        <v>23</v>
      </c>
      <c r="D5" s="1" t="s">
        <v>24</v>
      </c>
      <c r="E5" s="8">
        <v>6</v>
      </c>
      <c r="F5" s="1">
        <f>IFERROR(AVERAGEIF(PurchaseData!D:D, C5, PurchaseData!F:F) * E5, 0)</f>
        <v>600</v>
      </c>
    </row>
    <row r="6" spans="1:6" x14ac:dyDescent="0.35">
      <c r="A6" s="1" t="s">
        <v>82</v>
      </c>
      <c r="B6" s="1" t="s">
        <v>57</v>
      </c>
      <c r="C6" s="1" t="s">
        <v>25</v>
      </c>
      <c r="D6" s="1" t="s">
        <v>17</v>
      </c>
      <c r="E6" s="8">
        <v>1</v>
      </c>
      <c r="F6" s="1">
        <f>IFERROR(AVERAGEIF(PurchaseData!D:D, C6, PurchaseData!F:F) * E6, 0)</f>
        <v>150</v>
      </c>
    </row>
    <row r="7" spans="1:6" x14ac:dyDescent="0.35">
      <c r="A7" s="1" t="s">
        <v>82</v>
      </c>
      <c r="B7" s="1" t="s">
        <v>57</v>
      </c>
      <c r="C7" s="1" t="s">
        <v>26</v>
      </c>
      <c r="D7" s="1" t="s">
        <v>17</v>
      </c>
      <c r="E7" s="8">
        <v>0</v>
      </c>
      <c r="F7" s="1">
        <f>IFERROR(AVERAGEIF(PurchaseData!D:D, C7, PurchaseData!F:F) * E7, 0)</f>
        <v>0</v>
      </c>
    </row>
    <row r="8" spans="1:6" x14ac:dyDescent="0.35">
      <c r="A8" s="1" t="s">
        <v>82</v>
      </c>
      <c r="B8" s="1" t="s">
        <v>57</v>
      </c>
      <c r="C8" s="1" t="s">
        <v>27</v>
      </c>
      <c r="D8" s="1" t="s">
        <v>19</v>
      </c>
      <c r="E8" s="8">
        <v>2.5</v>
      </c>
      <c r="F8" s="1">
        <f>IFERROR(AVERAGEIF(PurchaseData!D:D, C8, PurchaseData!F:F) * E8, 0)</f>
        <v>150</v>
      </c>
    </row>
    <row r="9" spans="1:6" x14ac:dyDescent="0.35">
      <c r="A9" s="1" t="s">
        <v>82</v>
      </c>
      <c r="B9" s="1" t="s">
        <v>57</v>
      </c>
      <c r="C9" s="1" t="s">
        <v>28</v>
      </c>
      <c r="D9" s="1" t="s">
        <v>29</v>
      </c>
      <c r="E9" s="8">
        <v>0.2</v>
      </c>
      <c r="F9" s="1">
        <f>IFERROR(AVERAGEIF(PurchaseData!D:D, C9, PurchaseData!F:F) * E9, 0)</f>
        <v>20</v>
      </c>
    </row>
    <row r="10" spans="1:6" x14ac:dyDescent="0.35">
      <c r="A10" s="1" t="s">
        <v>82</v>
      </c>
      <c r="B10" s="1" t="s">
        <v>57</v>
      </c>
      <c r="C10" s="1" t="s">
        <v>30</v>
      </c>
      <c r="D10" s="1" t="s">
        <v>17</v>
      </c>
      <c r="E10" s="8">
        <v>25</v>
      </c>
      <c r="F10" s="1">
        <f>IFERROR(AVERAGEIF(PurchaseData!D:D, C10, PurchaseData!F:F) * E10, 0)</f>
        <v>125</v>
      </c>
    </row>
    <row r="11" spans="1:6" x14ac:dyDescent="0.35">
      <c r="A11" s="1" t="s">
        <v>82</v>
      </c>
      <c r="B11" s="1" t="s">
        <v>57</v>
      </c>
      <c r="C11" s="1" t="s">
        <v>31</v>
      </c>
      <c r="D11" s="1" t="s">
        <v>17</v>
      </c>
      <c r="E11" s="8">
        <v>25</v>
      </c>
      <c r="F11" s="1">
        <f>IFERROR(AVERAGEIF(PurchaseData!D:D, C11, PurchaseData!F:F) * E11, 0)</f>
        <v>125</v>
      </c>
    </row>
    <row r="12" spans="1:6" x14ac:dyDescent="0.35">
      <c r="A12" s="1" t="s">
        <v>82</v>
      </c>
      <c r="B12" s="1" t="s">
        <v>57</v>
      </c>
      <c r="C12" s="1" t="s">
        <v>32</v>
      </c>
      <c r="D12" s="1" t="s">
        <v>17</v>
      </c>
      <c r="E12" s="8">
        <v>12</v>
      </c>
      <c r="F12" s="1">
        <f>IFERROR(AVERAGEIF(PurchaseData!D:D, C12, PurchaseData!F:F) * E12, 0)</f>
        <v>120</v>
      </c>
    </row>
    <row r="13" spans="1:6" x14ac:dyDescent="0.35">
      <c r="A13" s="1" t="s">
        <v>82</v>
      </c>
      <c r="B13" s="1" t="s">
        <v>57</v>
      </c>
      <c r="C13" s="1" t="s">
        <v>33</v>
      </c>
      <c r="D13" s="1" t="s">
        <v>22</v>
      </c>
      <c r="E13" s="8">
        <v>0.15</v>
      </c>
      <c r="F13" s="1">
        <f>IFERROR(AVERAGEIF(PurchaseData!D:D, C13, PurchaseData!F:F) * E13, 0)</f>
        <v>30</v>
      </c>
    </row>
    <row r="14" spans="1:6" x14ac:dyDescent="0.35">
      <c r="A14" s="1" t="s">
        <v>82</v>
      </c>
      <c r="B14" s="1" t="s">
        <v>57</v>
      </c>
      <c r="C14" s="1" t="s">
        <v>34</v>
      </c>
      <c r="D14" s="1" t="s">
        <v>24</v>
      </c>
      <c r="E14" s="8">
        <v>2</v>
      </c>
      <c r="F14" s="1">
        <f>IFERROR(AVERAGEIF(PurchaseData!D:D, C14, PurchaseData!F:F) * E14, 0)</f>
        <v>400</v>
      </c>
    </row>
    <row r="15" spans="1:6" x14ac:dyDescent="0.35">
      <c r="A15" s="1" t="s">
        <v>82</v>
      </c>
      <c r="B15" s="1" t="s">
        <v>57</v>
      </c>
      <c r="C15" s="1" t="s">
        <v>35</v>
      </c>
      <c r="D15" s="1" t="s">
        <v>36</v>
      </c>
      <c r="E15" s="8">
        <v>0</v>
      </c>
      <c r="F15" s="1">
        <f>IFERROR(AVERAGEIF(PurchaseData!D:D, C15, PurchaseData!F:F) * E15, 0)</f>
        <v>0</v>
      </c>
    </row>
    <row r="16" spans="1:6" x14ac:dyDescent="0.35">
      <c r="A16" s="1" t="s">
        <v>82</v>
      </c>
      <c r="B16" s="1" t="s">
        <v>57</v>
      </c>
      <c r="C16" s="1" t="s">
        <v>37</v>
      </c>
      <c r="D16" s="1" t="s">
        <v>22</v>
      </c>
      <c r="E16" s="8">
        <v>1</v>
      </c>
      <c r="F16" s="1">
        <f>IFERROR(AVERAGEIF(PurchaseData!D:D, C16, PurchaseData!F:F) * E16, 0)</f>
        <v>30</v>
      </c>
    </row>
    <row r="17" spans="1:6" x14ac:dyDescent="0.35">
      <c r="A17" s="1" t="s">
        <v>82</v>
      </c>
      <c r="B17" s="1" t="s">
        <v>57</v>
      </c>
      <c r="C17" s="1" t="s">
        <v>38</v>
      </c>
      <c r="D17" s="1" t="s">
        <v>29</v>
      </c>
      <c r="E17" s="8">
        <v>1.6</v>
      </c>
      <c r="F17" s="1">
        <f>IFERROR(AVERAGEIF(PurchaseData!D:D, C17, PurchaseData!F:F) * E17, 0)</f>
        <v>192</v>
      </c>
    </row>
    <row r="18" spans="1:6" x14ac:dyDescent="0.35">
      <c r="A18" s="1" t="s">
        <v>82</v>
      </c>
      <c r="B18" s="1" t="s">
        <v>57</v>
      </c>
      <c r="C18" s="1" t="s">
        <v>39</v>
      </c>
      <c r="D18" s="1" t="s">
        <v>29</v>
      </c>
      <c r="E18" s="8">
        <v>0</v>
      </c>
      <c r="F18" s="1">
        <f>IFERROR(AVERAGEIF(PurchaseData!D:D, C18, PurchaseData!F:F) * E18, 0)</f>
        <v>0</v>
      </c>
    </row>
    <row r="19" spans="1:6" x14ac:dyDescent="0.35">
      <c r="A19" s="1" t="s">
        <v>82</v>
      </c>
      <c r="B19" s="1" t="s">
        <v>57</v>
      </c>
      <c r="C19" s="1" t="s">
        <v>40</v>
      </c>
      <c r="D19" s="1" t="s">
        <v>22</v>
      </c>
      <c r="E19" s="8">
        <v>1.5</v>
      </c>
      <c r="F19" s="1">
        <f>IFERROR(AVERAGEIF(PurchaseData!D:D, C19, PurchaseData!F:F) * E19, 0)</f>
        <v>187.5</v>
      </c>
    </row>
    <row r="20" spans="1:6" x14ac:dyDescent="0.35">
      <c r="A20" s="1" t="s">
        <v>82</v>
      </c>
      <c r="B20" s="1" t="s">
        <v>57</v>
      </c>
      <c r="C20" s="1" t="s">
        <v>41</v>
      </c>
      <c r="D20" s="1" t="s">
        <v>29</v>
      </c>
      <c r="E20" s="8">
        <v>0</v>
      </c>
      <c r="F20" s="1">
        <f>IFERROR(AVERAGEIF(PurchaseData!D:D, C20, PurchaseData!F:F) * E20, 0)</f>
        <v>0</v>
      </c>
    </row>
    <row r="21" spans="1:6" x14ac:dyDescent="0.35">
      <c r="A21" s="1" t="s">
        <v>82</v>
      </c>
      <c r="B21" s="1" t="s">
        <v>57</v>
      </c>
      <c r="C21" s="1" t="s">
        <v>42</v>
      </c>
      <c r="D21" s="1" t="s">
        <v>43</v>
      </c>
      <c r="E21" s="8">
        <v>0</v>
      </c>
      <c r="F21" s="1">
        <f>IFERROR(AVERAGEIF(PurchaseData!D:D, C21, PurchaseData!F:F) * E21, 0)</f>
        <v>0</v>
      </c>
    </row>
    <row r="22" spans="1:6" x14ac:dyDescent="0.35">
      <c r="A22" s="1" t="s">
        <v>82</v>
      </c>
      <c r="B22" s="1" t="s">
        <v>57</v>
      </c>
      <c r="C22" s="1" t="s">
        <v>44</v>
      </c>
      <c r="D22" s="1" t="s">
        <v>45</v>
      </c>
      <c r="E22" s="8">
        <v>1.5</v>
      </c>
      <c r="F22" s="1">
        <f>IFERROR(AVERAGEIF(PurchaseData!D:D, C22, PurchaseData!F:F) * E22, 0)</f>
        <v>247.5</v>
      </c>
    </row>
    <row r="23" spans="1:6" x14ac:dyDescent="0.35">
      <c r="A23" s="1" t="s">
        <v>82</v>
      </c>
      <c r="B23" s="1" t="s">
        <v>57</v>
      </c>
      <c r="C23" s="1" t="s">
        <v>46</v>
      </c>
      <c r="D23" s="1" t="s">
        <v>17</v>
      </c>
      <c r="E23" s="8">
        <v>14</v>
      </c>
      <c r="F23" s="1">
        <f>IFERROR(AVERAGEIF(PurchaseData!D:D, C23, PurchaseData!F:F) * E23, 0)</f>
        <v>0</v>
      </c>
    </row>
    <row r="24" spans="1:6" x14ac:dyDescent="0.35">
      <c r="A24" s="1" t="s">
        <v>82</v>
      </c>
      <c r="B24" s="1" t="s">
        <v>57</v>
      </c>
      <c r="C24" s="1" t="s">
        <v>47</v>
      </c>
      <c r="D24" s="1" t="s">
        <v>19</v>
      </c>
      <c r="E24" s="8">
        <v>5</v>
      </c>
      <c r="F24" s="1">
        <f>IFERROR(AVERAGEIF(PurchaseData!D:D, C24, PurchaseData!F:F) * E24, 0)</f>
        <v>50</v>
      </c>
    </row>
    <row r="25" spans="1:6" x14ac:dyDescent="0.35">
      <c r="A25" s="1" t="s">
        <v>82</v>
      </c>
      <c r="B25" s="1" t="s">
        <v>57</v>
      </c>
      <c r="C25" s="1" t="s">
        <v>48</v>
      </c>
      <c r="D25" s="1" t="s">
        <v>24</v>
      </c>
      <c r="E25" s="8">
        <v>0</v>
      </c>
      <c r="F25" s="1">
        <f>IFERROR(AVERAGEIF(PurchaseData!D:D, C25, PurchaseData!F:F) * E25, 0)</f>
        <v>0</v>
      </c>
    </row>
    <row r="26" spans="1:6" x14ac:dyDescent="0.35">
      <c r="A26" s="1" t="s">
        <v>82</v>
      </c>
      <c r="B26" s="1" t="s">
        <v>57</v>
      </c>
      <c r="C26" s="1" t="s">
        <v>49</v>
      </c>
      <c r="D26" s="1" t="s">
        <v>24</v>
      </c>
      <c r="E26" s="8">
        <v>0</v>
      </c>
      <c r="F26" s="1">
        <f>IFERROR(AVERAGEIF(PurchaseData!D:D, C26, PurchaseData!F:F) * E26, 0)</f>
        <v>0</v>
      </c>
    </row>
    <row r="27" spans="1:6" x14ac:dyDescent="0.35">
      <c r="A27" s="1" t="s">
        <v>82</v>
      </c>
      <c r="B27" s="1" t="s">
        <v>57</v>
      </c>
      <c r="C27" s="1" t="s">
        <v>50</v>
      </c>
      <c r="D27" s="1" t="s">
        <v>19</v>
      </c>
      <c r="E27" s="8">
        <v>0</v>
      </c>
      <c r="F27" s="1">
        <f>IFERROR(AVERAGEIF(PurchaseData!D:D, C27, PurchaseData!F:F) * E27, 0)</f>
        <v>0</v>
      </c>
    </row>
    <row r="28" spans="1:6" x14ac:dyDescent="0.35">
      <c r="A28" s="1" t="s">
        <v>82</v>
      </c>
      <c r="B28" s="1" t="s">
        <v>57</v>
      </c>
      <c r="C28" s="1" t="s">
        <v>51</v>
      </c>
      <c r="D28" s="1" t="s">
        <v>22</v>
      </c>
      <c r="E28" s="8">
        <v>1</v>
      </c>
      <c r="F28" s="1">
        <f>IFERROR(AVERAGEIF(PurchaseData!D:D, C28, PurchaseData!F:F) * E28, 0)</f>
        <v>200</v>
      </c>
    </row>
    <row r="29" spans="1:6" x14ac:dyDescent="0.35">
      <c r="A29" s="1" t="s">
        <v>82</v>
      </c>
      <c r="B29" s="1" t="s">
        <v>57</v>
      </c>
      <c r="C29" s="1" t="s">
        <v>52</v>
      </c>
      <c r="D29" s="1" t="s">
        <v>53</v>
      </c>
      <c r="E29" s="8">
        <v>0.5</v>
      </c>
      <c r="F29" s="1">
        <f>IFERROR(AVERAGEIF(PurchaseData!D:D, C29, PurchaseData!F:F) * E29, 0)</f>
        <v>1600</v>
      </c>
    </row>
    <row r="30" spans="1:6" x14ac:dyDescent="0.35">
      <c r="A30" s="1" t="s">
        <v>82</v>
      </c>
      <c r="B30" s="1" t="s">
        <v>57</v>
      </c>
      <c r="C30" s="1" t="s">
        <v>54</v>
      </c>
      <c r="D30" s="1" t="s">
        <v>29</v>
      </c>
      <c r="E30" s="8">
        <v>0.2</v>
      </c>
      <c r="F30" s="1">
        <f>IFERROR(AVERAGEIF(PurchaseData!D:D, C30, PurchaseData!F:F) * E30, 0)</f>
        <v>170</v>
      </c>
    </row>
    <row r="31" spans="1:6" x14ac:dyDescent="0.35">
      <c r="A31" s="1" t="s">
        <v>16</v>
      </c>
      <c r="B31" s="1" t="s">
        <v>57</v>
      </c>
      <c r="C31" s="1" t="s">
        <v>107</v>
      </c>
      <c r="D31" s="1" t="s">
        <v>108</v>
      </c>
      <c r="E31" s="8">
        <v>180</v>
      </c>
      <c r="F31" s="1">
        <f>IFERROR(AVERAGEIF(PurchaseData!D:D, C31, PurchaseData!F:F) * E31, 0)</f>
        <v>1440</v>
      </c>
    </row>
    <row r="32" spans="1:6" x14ac:dyDescent="0.35">
      <c r="A32" s="1" t="s">
        <v>16</v>
      </c>
      <c r="B32" s="1" t="s">
        <v>57</v>
      </c>
      <c r="C32" s="1" t="s">
        <v>109</v>
      </c>
      <c r="D32" s="1" t="s">
        <v>22</v>
      </c>
      <c r="E32" s="8">
        <v>1.5</v>
      </c>
      <c r="F32" s="1">
        <f>IFERROR(AVERAGEIF(PurchaseData!D:D, C32, PurchaseData!F:F) * E32, 0)</f>
        <v>105</v>
      </c>
    </row>
    <row r="33" spans="1:6" x14ac:dyDescent="0.35">
      <c r="A33" s="1" t="s">
        <v>16</v>
      </c>
      <c r="B33" s="1" t="s">
        <v>57</v>
      </c>
      <c r="C33" s="1" t="s">
        <v>110</v>
      </c>
      <c r="D33" s="1" t="s">
        <v>24</v>
      </c>
      <c r="E33" s="8">
        <v>3</v>
      </c>
      <c r="F33" s="1">
        <f>IFERROR(AVERAGEIF(PurchaseData!D:D, C33, PurchaseData!F:F) * E33, 0)</f>
        <v>2400</v>
      </c>
    </row>
    <row r="34" spans="1:6" x14ac:dyDescent="0.35">
      <c r="A34" s="1" t="s">
        <v>16</v>
      </c>
      <c r="B34" s="1" t="s">
        <v>57</v>
      </c>
      <c r="C34" s="1" t="s">
        <v>111</v>
      </c>
      <c r="D34" s="1" t="s">
        <v>22</v>
      </c>
      <c r="E34" s="8">
        <v>0.05</v>
      </c>
      <c r="F34" s="1">
        <f>IFERROR(AVERAGEIF(PurchaseData!D:D, C34, PurchaseData!F:F) * E34, 0)</f>
        <v>4.5</v>
      </c>
    </row>
    <row r="35" spans="1:6" x14ac:dyDescent="0.35">
      <c r="A35" s="1" t="s">
        <v>16</v>
      </c>
      <c r="B35" s="1" t="s">
        <v>57</v>
      </c>
      <c r="C35" s="1" t="s">
        <v>112</v>
      </c>
      <c r="D35" s="1" t="s">
        <v>24</v>
      </c>
      <c r="E35" s="8">
        <v>0.1</v>
      </c>
      <c r="F35" s="1">
        <f>IFERROR(AVERAGEIF(PurchaseData!D:D, C35, PurchaseData!F:F) * E35, 0)</f>
        <v>30</v>
      </c>
    </row>
    <row r="36" spans="1:6" x14ac:dyDescent="0.35">
      <c r="A36" s="1" t="s">
        <v>82</v>
      </c>
      <c r="B36" s="1" t="s">
        <v>9</v>
      </c>
      <c r="C36" s="1" t="s">
        <v>9</v>
      </c>
      <c r="D36" s="1" t="s">
        <v>17</v>
      </c>
      <c r="E36" s="8">
        <v>1</v>
      </c>
      <c r="F36" s="1">
        <f>IFERROR(AVERAGEIF(PurchaseData!D:D, C36, PurchaseData!F:F) * E36, 0)</f>
        <v>0</v>
      </c>
    </row>
    <row r="37" spans="1:6" x14ac:dyDescent="0.35">
      <c r="A37" s="1" t="s">
        <v>82</v>
      </c>
      <c r="B37" s="1" t="s">
        <v>9</v>
      </c>
      <c r="C37" s="1" t="s">
        <v>106</v>
      </c>
      <c r="D37" s="1" t="s">
        <v>19</v>
      </c>
      <c r="E37" s="8">
        <v>16</v>
      </c>
      <c r="F37" s="1">
        <f>IFERROR(AVERAGEIF(PurchaseData!D:D, C37, PurchaseData!F:F) * E37, 0)</f>
        <v>0</v>
      </c>
    </row>
    <row r="38" spans="1:6" x14ac:dyDescent="0.35">
      <c r="A38" s="1" t="s">
        <v>82</v>
      </c>
      <c r="B38" s="1" t="s">
        <v>9</v>
      </c>
      <c r="C38" s="1" t="s">
        <v>21</v>
      </c>
      <c r="D38" s="1" t="s">
        <v>22</v>
      </c>
      <c r="E38" s="8">
        <v>5</v>
      </c>
      <c r="F38" s="1">
        <f>IFERROR(AVERAGEIF(PurchaseData!D:D, C38, PurchaseData!F:F) * E38, 0)</f>
        <v>1000</v>
      </c>
    </row>
    <row r="39" spans="1:6" x14ac:dyDescent="0.35">
      <c r="A39" s="1" t="s">
        <v>82</v>
      </c>
      <c r="B39" s="1" t="s">
        <v>9</v>
      </c>
      <c r="C39" s="1" t="s">
        <v>23</v>
      </c>
      <c r="D39" s="1" t="s">
        <v>24</v>
      </c>
      <c r="E39" s="8">
        <v>1</v>
      </c>
      <c r="F39" s="1">
        <f>IFERROR(AVERAGEIF(PurchaseData!D:D, C39, PurchaseData!F:F) * E39, 0)</f>
        <v>100</v>
      </c>
    </row>
    <row r="40" spans="1:6" x14ac:dyDescent="0.35">
      <c r="A40" s="1" t="s">
        <v>82</v>
      </c>
      <c r="B40" s="1" t="s">
        <v>9</v>
      </c>
      <c r="C40" s="1" t="s">
        <v>25</v>
      </c>
      <c r="D40" s="1" t="s">
        <v>17</v>
      </c>
      <c r="E40" s="8">
        <v>1</v>
      </c>
      <c r="F40" s="1">
        <f>IFERROR(AVERAGEIF(PurchaseData!D:D, C40, PurchaseData!F:F) * E40, 0)</f>
        <v>150</v>
      </c>
    </row>
    <row r="41" spans="1:6" x14ac:dyDescent="0.35">
      <c r="A41" s="1" t="s">
        <v>82</v>
      </c>
      <c r="B41" s="1" t="s">
        <v>9</v>
      </c>
      <c r="C41" s="1" t="s">
        <v>26</v>
      </c>
      <c r="D41" s="1" t="s">
        <v>17</v>
      </c>
      <c r="E41" s="8">
        <v>0</v>
      </c>
      <c r="F41" s="1">
        <f>IFERROR(AVERAGEIF(PurchaseData!D:D, C41, PurchaseData!F:F) * E41, 0)</f>
        <v>0</v>
      </c>
    </row>
    <row r="42" spans="1:6" x14ac:dyDescent="0.35">
      <c r="A42" s="1" t="s">
        <v>82</v>
      </c>
      <c r="B42" s="1" t="s">
        <v>9</v>
      </c>
      <c r="C42" s="1" t="s">
        <v>27</v>
      </c>
      <c r="D42" s="1" t="s">
        <v>19</v>
      </c>
      <c r="E42" s="8">
        <v>2</v>
      </c>
      <c r="F42" s="1">
        <f>IFERROR(AVERAGEIF(PurchaseData!D:D, C42, PurchaseData!F:F) * E42, 0)</f>
        <v>120</v>
      </c>
    </row>
    <row r="43" spans="1:6" x14ac:dyDescent="0.35">
      <c r="A43" s="1" t="s">
        <v>82</v>
      </c>
      <c r="B43" s="1" t="s">
        <v>9</v>
      </c>
      <c r="C43" s="1" t="s">
        <v>28</v>
      </c>
      <c r="D43" s="1" t="s">
        <v>29</v>
      </c>
      <c r="E43" s="8">
        <v>0.2</v>
      </c>
      <c r="F43" s="1">
        <f>IFERROR(AVERAGEIF(PurchaseData!D:D, C43, PurchaseData!F:F) * E43, 0)</f>
        <v>20</v>
      </c>
    </row>
    <row r="44" spans="1:6" x14ac:dyDescent="0.35">
      <c r="A44" s="1" t="s">
        <v>82</v>
      </c>
      <c r="B44" s="1" t="s">
        <v>9</v>
      </c>
      <c r="C44" s="1" t="s">
        <v>30</v>
      </c>
      <c r="D44" s="1" t="s">
        <v>17</v>
      </c>
      <c r="E44" s="8">
        <v>25</v>
      </c>
      <c r="F44" s="1">
        <f>IFERROR(AVERAGEIF(PurchaseData!D:D, C44, PurchaseData!F:F) * E44, 0)</f>
        <v>125</v>
      </c>
    </row>
    <row r="45" spans="1:6" x14ac:dyDescent="0.35">
      <c r="A45" s="1" t="s">
        <v>82</v>
      </c>
      <c r="B45" s="1" t="s">
        <v>9</v>
      </c>
      <c r="C45" s="1" t="s">
        <v>31</v>
      </c>
      <c r="D45" s="1" t="s">
        <v>17</v>
      </c>
      <c r="E45" s="8">
        <v>50</v>
      </c>
      <c r="F45" s="1">
        <f>IFERROR(AVERAGEIF(PurchaseData!D:D, C45, PurchaseData!F:F) * E45, 0)</f>
        <v>250</v>
      </c>
    </row>
    <row r="46" spans="1:6" x14ac:dyDescent="0.35">
      <c r="A46" s="1" t="s">
        <v>82</v>
      </c>
      <c r="B46" s="1" t="s">
        <v>9</v>
      </c>
      <c r="C46" s="1" t="s">
        <v>32</v>
      </c>
      <c r="D46" s="1" t="s">
        <v>17</v>
      </c>
      <c r="E46" s="8">
        <v>50</v>
      </c>
      <c r="F46" s="1">
        <f>IFERROR(AVERAGEIF(PurchaseData!D:D, C46, PurchaseData!F:F) * E46, 0)</f>
        <v>500</v>
      </c>
    </row>
    <row r="47" spans="1:6" x14ac:dyDescent="0.35">
      <c r="A47" s="1" t="s">
        <v>82</v>
      </c>
      <c r="B47" s="1" t="s">
        <v>9</v>
      </c>
      <c r="C47" s="1" t="s">
        <v>33</v>
      </c>
      <c r="D47" s="1" t="s">
        <v>22</v>
      </c>
      <c r="E47" s="8">
        <v>0.2</v>
      </c>
      <c r="F47" s="1">
        <f>IFERROR(AVERAGEIF(PurchaseData!D:D, C47, PurchaseData!F:F) * E47, 0)</f>
        <v>40</v>
      </c>
    </row>
    <row r="48" spans="1:6" x14ac:dyDescent="0.35">
      <c r="A48" s="1" t="s">
        <v>82</v>
      </c>
      <c r="B48" s="1" t="s">
        <v>9</v>
      </c>
      <c r="C48" s="1" t="s">
        <v>34</v>
      </c>
      <c r="D48" s="1" t="s">
        <v>24</v>
      </c>
      <c r="E48" s="8">
        <v>2</v>
      </c>
      <c r="F48" s="1">
        <f>IFERROR(AVERAGEIF(PurchaseData!D:D, C48, PurchaseData!F:F) * E48, 0)</f>
        <v>400</v>
      </c>
    </row>
    <row r="49" spans="1:6" x14ac:dyDescent="0.35">
      <c r="A49" s="1" t="s">
        <v>82</v>
      </c>
      <c r="B49" s="1" t="s">
        <v>9</v>
      </c>
      <c r="C49" s="1" t="s">
        <v>35</v>
      </c>
      <c r="D49" s="1" t="s">
        <v>36</v>
      </c>
      <c r="E49" s="8">
        <v>2</v>
      </c>
      <c r="F49" s="1">
        <f>IFERROR(AVERAGEIF(PurchaseData!D:D, C49, PurchaseData!F:F) * E49, 0)</f>
        <v>40</v>
      </c>
    </row>
    <row r="50" spans="1:6" x14ac:dyDescent="0.35">
      <c r="A50" s="1" t="s">
        <v>82</v>
      </c>
      <c r="B50" s="1" t="s">
        <v>9</v>
      </c>
      <c r="C50" s="1" t="s">
        <v>37</v>
      </c>
      <c r="D50" s="1" t="s">
        <v>22</v>
      </c>
      <c r="E50" s="8">
        <v>1</v>
      </c>
      <c r="F50" s="1">
        <f>IFERROR(AVERAGEIF(PurchaseData!D:D, C50, PurchaseData!F:F) * E50, 0)</f>
        <v>30</v>
      </c>
    </row>
    <row r="51" spans="1:6" x14ac:dyDescent="0.35">
      <c r="A51" s="1" t="s">
        <v>82</v>
      </c>
      <c r="B51" s="1" t="s">
        <v>9</v>
      </c>
      <c r="C51" s="1" t="s">
        <v>38</v>
      </c>
      <c r="D51" s="1" t="s">
        <v>29</v>
      </c>
      <c r="E51" s="8">
        <v>1.6</v>
      </c>
      <c r="F51" s="1">
        <f>IFERROR(AVERAGEIF(PurchaseData!D:D, C51, PurchaseData!F:F) * E51, 0)</f>
        <v>192</v>
      </c>
    </row>
    <row r="52" spans="1:6" x14ac:dyDescent="0.35">
      <c r="A52" s="1" t="s">
        <v>82</v>
      </c>
      <c r="B52" s="1" t="s">
        <v>9</v>
      </c>
      <c r="C52" s="1" t="s">
        <v>39</v>
      </c>
      <c r="D52" s="1" t="s">
        <v>29</v>
      </c>
      <c r="E52" s="8">
        <v>0</v>
      </c>
      <c r="F52" s="1">
        <f>IFERROR(AVERAGEIF(PurchaseData!D:D, C52, PurchaseData!F:F) * E52, 0)</f>
        <v>0</v>
      </c>
    </row>
    <row r="53" spans="1:6" x14ac:dyDescent="0.35">
      <c r="A53" s="1" t="s">
        <v>82</v>
      </c>
      <c r="B53" s="1" t="s">
        <v>9</v>
      </c>
      <c r="C53" s="1" t="s">
        <v>40</v>
      </c>
      <c r="D53" s="1" t="s">
        <v>22</v>
      </c>
      <c r="E53" s="8">
        <v>1.5</v>
      </c>
      <c r="F53" s="1">
        <f>IFERROR(AVERAGEIF(PurchaseData!D:D, C53, PurchaseData!F:F) * E53, 0)</f>
        <v>187.5</v>
      </c>
    </row>
    <row r="54" spans="1:6" x14ac:dyDescent="0.35">
      <c r="A54" s="1" t="s">
        <v>82</v>
      </c>
      <c r="B54" s="1" t="s">
        <v>9</v>
      </c>
      <c r="C54" s="1" t="s">
        <v>41</v>
      </c>
      <c r="D54" s="1" t="s">
        <v>29</v>
      </c>
      <c r="E54" s="8">
        <v>0</v>
      </c>
      <c r="F54" s="1">
        <f>IFERROR(AVERAGEIF(PurchaseData!D:D, C54, PurchaseData!F:F) * E54, 0)</f>
        <v>0</v>
      </c>
    </row>
    <row r="55" spans="1:6" x14ac:dyDescent="0.35">
      <c r="A55" s="1" t="s">
        <v>82</v>
      </c>
      <c r="B55" s="1" t="s">
        <v>9</v>
      </c>
      <c r="C55" s="1" t="s">
        <v>42</v>
      </c>
      <c r="D55" s="1" t="s">
        <v>43</v>
      </c>
      <c r="E55" s="8">
        <v>0</v>
      </c>
      <c r="F55" s="1">
        <f>IFERROR(AVERAGEIF(PurchaseData!D:D, C55, PurchaseData!F:F) * E55, 0)</f>
        <v>0</v>
      </c>
    </row>
    <row r="56" spans="1:6" x14ac:dyDescent="0.35">
      <c r="A56" s="1" t="s">
        <v>82</v>
      </c>
      <c r="B56" s="1" t="s">
        <v>9</v>
      </c>
      <c r="C56" s="1" t="s">
        <v>44</v>
      </c>
      <c r="D56" s="1" t="s">
        <v>45</v>
      </c>
      <c r="E56" s="8">
        <v>1.5</v>
      </c>
      <c r="F56" s="1">
        <f>IFERROR(AVERAGEIF(PurchaseData!D:D, C56, PurchaseData!F:F) * E56, 0)</f>
        <v>247.5</v>
      </c>
    </row>
    <row r="57" spans="1:6" x14ac:dyDescent="0.35">
      <c r="A57" s="1" t="s">
        <v>82</v>
      </c>
      <c r="B57" s="1" t="s">
        <v>9</v>
      </c>
      <c r="C57" s="1" t="s">
        <v>46</v>
      </c>
      <c r="D57" s="1" t="s">
        <v>17</v>
      </c>
      <c r="E57" s="8">
        <v>14</v>
      </c>
      <c r="F57" s="1">
        <f>IFERROR(AVERAGEIF(PurchaseData!D:D, C57, PurchaseData!F:F) * E57, 0)</f>
        <v>0</v>
      </c>
    </row>
    <row r="58" spans="1:6" x14ac:dyDescent="0.35">
      <c r="A58" s="1" t="s">
        <v>82</v>
      </c>
      <c r="B58" s="1" t="s">
        <v>9</v>
      </c>
      <c r="C58" s="1" t="s">
        <v>47</v>
      </c>
      <c r="D58" s="1" t="s">
        <v>19</v>
      </c>
      <c r="E58" s="8">
        <v>5</v>
      </c>
      <c r="F58" s="1">
        <f>IFERROR(AVERAGEIF(PurchaseData!D:D, C58, PurchaseData!F:F) * E58, 0)</f>
        <v>50</v>
      </c>
    </row>
    <row r="59" spans="1:6" x14ac:dyDescent="0.35">
      <c r="A59" s="1" t="s">
        <v>82</v>
      </c>
      <c r="B59" s="1" t="s">
        <v>9</v>
      </c>
      <c r="C59" s="1" t="s">
        <v>48</v>
      </c>
      <c r="D59" s="1" t="s">
        <v>24</v>
      </c>
      <c r="E59" s="8">
        <v>0</v>
      </c>
      <c r="F59" s="1">
        <f>IFERROR(AVERAGEIF(PurchaseData!D:D, C59, PurchaseData!F:F) * E59, 0)</f>
        <v>0</v>
      </c>
    </row>
    <row r="60" spans="1:6" x14ac:dyDescent="0.35">
      <c r="A60" s="1" t="s">
        <v>82</v>
      </c>
      <c r="B60" s="1" t="s">
        <v>9</v>
      </c>
      <c r="C60" s="1" t="s">
        <v>49</v>
      </c>
      <c r="D60" s="1" t="s">
        <v>24</v>
      </c>
      <c r="E60" s="8">
        <v>0</v>
      </c>
      <c r="F60" s="1">
        <f>IFERROR(AVERAGEIF(PurchaseData!D:D, C60, PurchaseData!F:F) * E60, 0)</f>
        <v>0</v>
      </c>
    </row>
    <row r="61" spans="1:6" x14ac:dyDescent="0.35">
      <c r="A61" s="1" t="s">
        <v>82</v>
      </c>
      <c r="B61" s="1" t="s">
        <v>9</v>
      </c>
      <c r="C61" s="1" t="s">
        <v>50</v>
      </c>
      <c r="D61" s="1" t="s">
        <v>19</v>
      </c>
      <c r="E61" s="8">
        <v>0</v>
      </c>
      <c r="F61" s="1">
        <f>IFERROR(AVERAGEIF(PurchaseData!D:D, C61, PurchaseData!F:F) * E61, 0)</f>
        <v>0</v>
      </c>
    </row>
    <row r="62" spans="1:6" x14ac:dyDescent="0.35">
      <c r="A62" s="1" t="s">
        <v>82</v>
      </c>
      <c r="B62" s="1" t="s">
        <v>9</v>
      </c>
      <c r="C62" s="1" t="s">
        <v>51</v>
      </c>
      <c r="D62" s="1" t="s">
        <v>22</v>
      </c>
      <c r="E62" s="8">
        <v>0</v>
      </c>
      <c r="F62" s="1">
        <f>IFERROR(AVERAGEIF(PurchaseData!D:D, C62, PurchaseData!F:F) * E62, 0)</f>
        <v>0</v>
      </c>
    </row>
    <row r="63" spans="1:6" x14ac:dyDescent="0.35">
      <c r="A63" s="1" t="s">
        <v>82</v>
      </c>
      <c r="B63" s="1" t="s">
        <v>9</v>
      </c>
      <c r="C63" s="1" t="s">
        <v>52</v>
      </c>
      <c r="D63" s="1" t="s">
        <v>53</v>
      </c>
      <c r="E63" s="8">
        <v>0</v>
      </c>
      <c r="F63" s="1">
        <f>IFERROR(AVERAGEIF(PurchaseData!D:D, C63, PurchaseData!F:F) * E63, 0)</f>
        <v>0</v>
      </c>
    </row>
    <row r="64" spans="1:6" x14ac:dyDescent="0.35">
      <c r="A64" s="1" t="s">
        <v>82</v>
      </c>
      <c r="B64" s="1" t="s">
        <v>9</v>
      </c>
      <c r="C64" s="1" t="s">
        <v>54</v>
      </c>
      <c r="D64" s="1" t="s">
        <v>29</v>
      </c>
      <c r="E64" s="8">
        <v>0.2</v>
      </c>
      <c r="F64" s="1">
        <f>IFERROR(AVERAGEIF(PurchaseData!D:D, C64, PurchaseData!F:F) * E64, 0)</f>
        <v>170</v>
      </c>
    </row>
    <row r="65" spans="1:6" x14ac:dyDescent="0.35">
      <c r="A65" s="1" t="s">
        <v>16</v>
      </c>
      <c r="B65" s="1" t="s">
        <v>9</v>
      </c>
      <c r="C65" s="1" t="s">
        <v>107</v>
      </c>
      <c r="D65" s="1" t="s">
        <v>108</v>
      </c>
      <c r="E65" s="8">
        <v>250</v>
      </c>
      <c r="F65" s="1">
        <f>IFERROR(AVERAGEIF(PurchaseData!D:D, C65, PurchaseData!F:F) * E65, 0)</f>
        <v>2000</v>
      </c>
    </row>
    <row r="66" spans="1:6" x14ac:dyDescent="0.35">
      <c r="A66" s="1" t="s">
        <v>16</v>
      </c>
      <c r="B66" s="1" t="s">
        <v>9</v>
      </c>
      <c r="C66" s="1" t="s">
        <v>109</v>
      </c>
      <c r="D66" s="1" t="s">
        <v>22</v>
      </c>
      <c r="E66" s="8">
        <v>1.5</v>
      </c>
      <c r="F66" s="1">
        <f>IFERROR(AVERAGEIF(PurchaseData!D:D, C66, PurchaseData!F:F) * E66, 0)</f>
        <v>105</v>
      </c>
    </row>
    <row r="67" spans="1:6" x14ac:dyDescent="0.35">
      <c r="A67" s="1" t="s">
        <v>16</v>
      </c>
      <c r="B67" s="1" t="s">
        <v>9</v>
      </c>
      <c r="C67" s="1" t="s">
        <v>110</v>
      </c>
      <c r="D67" s="1" t="s">
        <v>24</v>
      </c>
      <c r="E67" s="8">
        <v>0.5</v>
      </c>
      <c r="F67" s="1">
        <f>IFERROR(AVERAGEIF(PurchaseData!D:D, C67, PurchaseData!F:F) * E67, 0)</f>
        <v>400</v>
      </c>
    </row>
    <row r="68" spans="1:6" x14ac:dyDescent="0.35">
      <c r="A68" s="1" t="s">
        <v>16</v>
      </c>
      <c r="B68" s="1" t="s">
        <v>9</v>
      </c>
      <c r="C68" s="1" t="s">
        <v>111</v>
      </c>
      <c r="D68" s="1" t="s">
        <v>22</v>
      </c>
      <c r="E68" s="8">
        <v>0.05</v>
      </c>
      <c r="F68" s="1">
        <f>IFERROR(AVERAGEIF(PurchaseData!D:D, C68, PurchaseData!F:F) * E68, 0)</f>
        <v>4.5</v>
      </c>
    </row>
    <row r="69" spans="1:6" x14ac:dyDescent="0.35">
      <c r="A69" s="1" t="s">
        <v>16</v>
      </c>
      <c r="B69" s="1" t="s">
        <v>9</v>
      </c>
      <c r="C69" s="1" t="s">
        <v>112</v>
      </c>
      <c r="D69" s="1" t="s">
        <v>24</v>
      </c>
      <c r="E69" s="8">
        <v>0.1</v>
      </c>
      <c r="F69" s="1">
        <f>IFERROR(AVERAGEIF(PurchaseData!D:D, C69, PurchaseData!F:F) * E69, 0)</f>
        <v>30</v>
      </c>
    </row>
    <row r="70" spans="1:6" x14ac:dyDescent="0.35">
      <c r="A70" s="1" t="s">
        <v>82</v>
      </c>
      <c r="B70" s="1" t="s">
        <v>7</v>
      </c>
      <c r="C70" s="1" t="s">
        <v>7</v>
      </c>
      <c r="D70" s="1" t="s">
        <v>17</v>
      </c>
      <c r="E70" s="8">
        <v>1</v>
      </c>
      <c r="F70" s="1">
        <f>IFERROR(AVERAGEIF(PurchaseData!D:D, C70, PurchaseData!F:F) * E70, 0)</f>
        <v>0</v>
      </c>
    </row>
    <row r="71" spans="1:6" x14ac:dyDescent="0.35">
      <c r="A71" s="1" t="s">
        <v>82</v>
      </c>
      <c r="B71" s="1" t="s">
        <v>7</v>
      </c>
      <c r="C71" s="1" t="s">
        <v>106</v>
      </c>
      <c r="D71" s="1" t="s">
        <v>19</v>
      </c>
      <c r="E71" s="8">
        <v>14</v>
      </c>
      <c r="F71" s="1">
        <f>IFERROR(AVERAGEIF(PurchaseData!D:D, C71, PurchaseData!F:F) * E71, 0)</f>
        <v>0</v>
      </c>
    </row>
    <row r="72" spans="1:6" x14ac:dyDescent="0.35">
      <c r="A72" s="1" t="s">
        <v>82</v>
      </c>
      <c r="B72" s="1" t="s">
        <v>7</v>
      </c>
      <c r="C72" s="1" t="s">
        <v>21</v>
      </c>
      <c r="D72" s="1" t="s">
        <v>22</v>
      </c>
      <c r="E72" s="8">
        <v>2</v>
      </c>
      <c r="F72" s="1">
        <f>IFERROR(AVERAGEIF(PurchaseData!D:D, C72, PurchaseData!F:F) * E72, 0)</f>
        <v>400</v>
      </c>
    </row>
    <row r="73" spans="1:6" x14ac:dyDescent="0.35">
      <c r="A73" s="1" t="s">
        <v>82</v>
      </c>
      <c r="B73" s="1" t="s">
        <v>7</v>
      </c>
      <c r="C73" s="1" t="s">
        <v>23</v>
      </c>
      <c r="D73" s="1" t="s">
        <v>24</v>
      </c>
      <c r="E73" s="8">
        <v>3</v>
      </c>
      <c r="F73" s="1">
        <f>IFERROR(AVERAGEIF(PurchaseData!D:D, C73, PurchaseData!F:F) * E73, 0)</f>
        <v>300</v>
      </c>
    </row>
    <row r="74" spans="1:6" x14ac:dyDescent="0.35">
      <c r="A74" s="1" t="s">
        <v>82</v>
      </c>
      <c r="B74" s="1" t="s">
        <v>7</v>
      </c>
      <c r="C74" s="1" t="s">
        <v>25</v>
      </c>
      <c r="D74" s="1" t="s">
        <v>17</v>
      </c>
      <c r="E74" s="8">
        <v>1</v>
      </c>
      <c r="F74" s="1">
        <f>IFERROR(AVERAGEIF(PurchaseData!D:D, C74, PurchaseData!F:F) * E74, 0)</f>
        <v>150</v>
      </c>
    </row>
    <row r="75" spans="1:6" x14ac:dyDescent="0.35">
      <c r="A75" s="1" t="s">
        <v>82</v>
      </c>
      <c r="B75" s="1" t="s">
        <v>7</v>
      </c>
      <c r="C75" s="1" t="s">
        <v>26</v>
      </c>
      <c r="D75" s="1" t="s">
        <v>17</v>
      </c>
      <c r="E75" s="8">
        <v>0.5</v>
      </c>
      <c r="F75" s="1">
        <f>IFERROR(AVERAGEIF(PurchaseData!D:D, C75, PurchaseData!F:F) * E75, 0)</f>
        <v>60</v>
      </c>
    </row>
    <row r="76" spans="1:6" x14ac:dyDescent="0.35">
      <c r="A76" s="1" t="s">
        <v>82</v>
      </c>
      <c r="B76" s="1" t="s">
        <v>7</v>
      </c>
      <c r="C76" s="1" t="s">
        <v>27</v>
      </c>
      <c r="D76" s="1" t="s">
        <v>19</v>
      </c>
      <c r="E76" s="8">
        <v>1</v>
      </c>
      <c r="F76" s="1">
        <f>IFERROR(AVERAGEIF(PurchaseData!D:D, C76, PurchaseData!F:F) * E76, 0)</f>
        <v>60</v>
      </c>
    </row>
    <row r="77" spans="1:6" x14ac:dyDescent="0.35">
      <c r="A77" s="1" t="s">
        <v>82</v>
      </c>
      <c r="B77" s="1" t="s">
        <v>7</v>
      </c>
      <c r="C77" s="1" t="s">
        <v>28</v>
      </c>
      <c r="D77" s="1" t="s">
        <v>29</v>
      </c>
      <c r="E77" s="8">
        <v>0.2</v>
      </c>
      <c r="F77" s="1">
        <f>IFERROR(AVERAGEIF(PurchaseData!D:D, C77, PurchaseData!F:F) * E77, 0)</f>
        <v>20</v>
      </c>
    </row>
    <row r="78" spans="1:6" x14ac:dyDescent="0.35">
      <c r="A78" s="1" t="s">
        <v>82</v>
      </c>
      <c r="B78" s="1" t="s">
        <v>7</v>
      </c>
      <c r="C78" s="1" t="s">
        <v>30</v>
      </c>
      <c r="D78" s="1" t="s">
        <v>17</v>
      </c>
      <c r="E78" s="8">
        <v>25</v>
      </c>
      <c r="F78" s="1">
        <f>IFERROR(AVERAGEIF(PurchaseData!D:D, C78, PurchaseData!F:F) * E78, 0)</f>
        <v>125</v>
      </c>
    </row>
    <row r="79" spans="1:6" x14ac:dyDescent="0.35">
      <c r="A79" s="1" t="s">
        <v>82</v>
      </c>
      <c r="B79" s="1" t="s">
        <v>7</v>
      </c>
      <c r="C79" s="1" t="s">
        <v>31</v>
      </c>
      <c r="D79" s="1" t="s">
        <v>17</v>
      </c>
      <c r="E79" s="8">
        <v>15</v>
      </c>
      <c r="F79" s="1">
        <f>IFERROR(AVERAGEIF(PurchaseData!D:D, C79, PurchaseData!F:F) * E79, 0)</f>
        <v>75</v>
      </c>
    </row>
    <row r="80" spans="1:6" x14ac:dyDescent="0.35">
      <c r="A80" s="1" t="s">
        <v>82</v>
      </c>
      <c r="B80" s="1" t="s">
        <v>7</v>
      </c>
      <c r="C80" s="1" t="s">
        <v>32</v>
      </c>
      <c r="D80" s="1" t="s">
        <v>17</v>
      </c>
      <c r="E80" s="8">
        <v>15</v>
      </c>
      <c r="F80" s="1">
        <f>IFERROR(AVERAGEIF(PurchaseData!D:D, C80, PurchaseData!F:F) * E80, 0)</f>
        <v>150</v>
      </c>
    </row>
    <row r="81" spans="1:6" x14ac:dyDescent="0.35">
      <c r="A81" s="1" t="s">
        <v>82</v>
      </c>
      <c r="B81" s="1" t="s">
        <v>7</v>
      </c>
      <c r="C81" s="1" t="s">
        <v>33</v>
      </c>
      <c r="D81" s="1" t="s">
        <v>22</v>
      </c>
      <c r="E81" s="8">
        <v>0.2</v>
      </c>
      <c r="F81" s="1">
        <f>IFERROR(AVERAGEIF(PurchaseData!D:D, C81, PurchaseData!F:F) * E81, 0)</f>
        <v>40</v>
      </c>
    </row>
    <row r="82" spans="1:6" x14ac:dyDescent="0.35">
      <c r="A82" s="1" t="s">
        <v>82</v>
      </c>
      <c r="B82" s="1" t="s">
        <v>7</v>
      </c>
      <c r="C82" s="1" t="s">
        <v>34</v>
      </c>
      <c r="D82" s="1" t="s">
        <v>24</v>
      </c>
      <c r="E82" s="8">
        <v>0</v>
      </c>
      <c r="F82" s="1">
        <f>IFERROR(AVERAGEIF(PurchaseData!D:D, C82, PurchaseData!F:F) * E82, 0)</f>
        <v>0</v>
      </c>
    </row>
    <row r="83" spans="1:6" x14ac:dyDescent="0.35">
      <c r="A83" s="1" t="s">
        <v>82</v>
      </c>
      <c r="B83" s="1" t="s">
        <v>7</v>
      </c>
      <c r="C83" s="1" t="s">
        <v>35</v>
      </c>
      <c r="D83" s="1" t="s">
        <v>36</v>
      </c>
      <c r="E83" s="8">
        <v>5</v>
      </c>
      <c r="F83" s="1">
        <f>IFERROR(AVERAGEIF(PurchaseData!D:D, C83, PurchaseData!F:F) * E83, 0)</f>
        <v>100</v>
      </c>
    </row>
    <row r="84" spans="1:6" x14ac:dyDescent="0.35">
      <c r="A84" s="1" t="s">
        <v>82</v>
      </c>
      <c r="B84" s="1" t="s">
        <v>7</v>
      </c>
      <c r="C84" s="1" t="s">
        <v>37</v>
      </c>
      <c r="D84" s="1" t="s">
        <v>22</v>
      </c>
      <c r="E84" s="8">
        <v>1</v>
      </c>
      <c r="F84" s="1">
        <f>IFERROR(AVERAGEIF(PurchaseData!D:D, C84, PurchaseData!F:F) * E84, 0)</f>
        <v>30</v>
      </c>
    </row>
    <row r="85" spans="1:6" x14ac:dyDescent="0.35">
      <c r="A85" s="1" t="s">
        <v>82</v>
      </c>
      <c r="B85" s="1" t="s">
        <v>7</v>
      </c>
      <c r="C85" s="1" t="s">
        <v>38</v>
      </c>
      <c r="D85" s="1" t="s">
        <v>29</v>
      </c>
      <c r="E85" s="8">
        <v>1.6</v>
      </c>
      <c r="F85" s="1">
        <f>IFERROR(AVERAGEIF(PurchaseData!D:D, C85, PurchaseData!F:F) * E85, 0)</f>
        <v>192</v>
      </c>
    </row>
    <row r="86" spans="1:6" x14ac:dyDescent="0.35">
      <c r="A86" s="1" t="s">
        <v>82</v>
      </c>
      <c r="B86" s="1" t="s">
        <v>7</v>
      </c>
      <c r="C86" s="1" t="s">
        <v>39</v>
      </c>
      <c r="D86" s="1" t="s">
        <v>29</v>
      </c>
      <c r="E86" s="8">
        <v>0</v>
      </c>
      <c r="F86" s="1">
        <f>IFERROR(AVERAGEIF(PurchaseData!D:D, C86, PurchaseData!F:F) * E86, 0)</f>
        <v>0</v>
      </c>
    </row>
    <row r="87" spans="1:6" x14ac:dyDescent="0.35">
      <c r="A87" s="1" t="s">
        <v>82</v>
      </c>
      <c r="B87" s="1" t="s">
        <v>7</v>
      </c>
      <c r="C87" s="1" t="s">
        <v>40</v>
      </c>
      <c r="D87" s="1" t="s">
        <v>22</v>
      </c>
      <c r="E87" s="8">
        <v>1.5</v>
      </c>
      <c r="F87" s="1">
        <f>IFERROR(AVERAGEIF(PurchaseData!D:D, C87, PurchaseData!F:F) * E87, 0)</f>
        <v>187.5</v>
      </c>
    </row>
    <row r="88" spans="1:6" x14ac:dyDescent="0.35">
      <c r="A88" s="1" t="s">
        <v>82</v>
      </c>
      <c r="B88" s="1" t="s">
        <v>7</v>
      </c>
      <c r="C88" s="1" t="s">
        <v>41</v>
      </c>
      <c r="D88" s="1" t="s">
        <v>29</v>
      </c>
      <c r="E88" s="8">
        <v>10</v>
      </c>
      <c r="F88" s="1">
        <f>IFERROR(AVERAGEIF(PurchaseData!D:D, C88, PurchaseData!F:F) * E88, 0)</f>
        <v>400</v>
      </c>
    </row>
    <row r="89" spans="1:6" x14ac:dyDescent="0.35">
      <c r="A89" s="1" t="s">
        <v>82</v>
      </c>
      <c r="B89" s="1" t="s">
        <v>7</v>
      </c>
      <c r="C89" s="1" t="s">
        <v>42</v>
      </c>
      <c r="D89" s="1" t="s">
        <v>43</v>
      </c>
      <c r="E89" s="8">
        <v>0</v>
      </c>
      <c r="F89" s="1">
        <f>IFERROR(AVERAGEIF(PurchaseData!D:D, C89, PurchaseData!F:F) * E89, 0)</f>
        <v>0</v>
      </c>
    </row>
    <row r="90" spans="1:6" x14ac:dyDescent="0.35">
      <c r="A90" s="1" t="s">
        <v>82</v>
      </c>
      <c r="B90" s="1" t="s">
        <v>7</v>
      </c>
      <c r="C90" s="1" t="s">
        <v>44</v>
      </c>
      <c r="D90" s="1" t="s">
        <v>45</v>
      </c>
      <c r="E90" s="8">
        <v>1</v>
      </c>
      <c r="F90" s="1">
        <f>IFERROR(AVERAGEIF(PurchaseData!D:D, C90, PurchaseData!F:F) * E90, 0)</f>
        <v>165</v>
      </c>
    </row>
    <row r="91" spans="1:6" x14ac:dyDescent="0.35">
      <c r="A91" s="1" t="s">
        <v>82</v>
      </c>
      <c r="B91" s="1" t="s">
        <v>7</v>
      </c>
      <c r="C91" s="1" t="s">
        <v>46</v>
      </c>
      <c r="D91" s="1" t="s">
        <v>17</v>
      </c>
      <c r="E91" s="8">
        <v>14</v>
      </c>
      <c r="F91" s="1">
        <f>IFERROR(AVERAGEIF(PurchaseData!D:D, C91, PurchaseData!F:F) * E91, 0)</f>
        <v>0</v>
      </c>
    </row>
    <row r="92" spans="1:6" x14ac:dyDescent="0.35">
      <c r="A92" s="1" t="s">
        <v>82</v>
      </c>
      <c r="B92" s="1" t="s">
        <v>7</v>
      </c>
      <c r="C92" s="1" t="s">
        <v>47</v>
      </c>
      <c r="D92" s="1" t="s">
        <v>19</v>
      </c>
      <c r="E92" s="8">
        <v>5</v>
      </c>
      <c r="F92" s="1">
        <f>IFERROR(AVERAGEIF(PurchaseData!D:D, C92, PurchaseData!F:F) * E92, 0)</f>
        <v>50</v>
      </c>
    </row>
    <row r="93" spans="1:6" x14ac:dyDescent="0.35">
      <c r="A93" s="1" t="s">
        <v>82</v>
      </c>
      <c r="B93" s="1" t="s">
        <v>7</v>
      </c>
      <c r="C93" s="1" t="s">
        <v>48</v>
      </c>
      <c r="D93" s="1" t="s">
        <v>24</v>
      </c>
      <c r="E93" s="8">
        <v>2</v>
      </c>
      <c r="F93" s="1">
        <f>IFERROR(AVERAGEIF(PurchaseData!D:D, C93, PurchaseData!F:F) * E93, 0)</f>
        <v>50</v>
      </c>
    </row>
    <row r="94" spans="1:6" x14ac:dyDescent="0.35">
      <c r="A94" s="1" t="s">
        <v>82</v>
      </c>
      <c r="B94" s="1" t="s">
        <v>7</v>
      </c>
      <c r="C94" s="1" t="s">
        <v>49</v>
      </c>
      <c r="D94" s="1" t="s">
        <v>24</v>
      </c>
      <c r="E94" s="8">
        <v>0</v>
      </c>
      <c r="F94" s="1">
        <f>IFERROR(AVERAGEIF(PurchaseData!D:D, C94, PurchaseData!F:F) * E94, 0)</f>
        <v>0</v>
      </c>
    </row>
    <row r="95" spans="1:6" x14ac:dyDescent="0.35">
      <c r="A95" s="1" t="s">
        <v>82</v>
      </c>
      <c r="B95" s="1" t="s">
        <v>7</v>
      </c>
      <c r="C95" s="1" t="s">
        <v>50</v>
      </c>
      <c r="D95" s="1" t="s">
        <v>19</v>
      </c>
      <c r="E95" s="8">
        <v>0</v>
      </c>
      <c r="F95" s="1">
        <f>IFERROR(AVERAGEIF(PurchaseData!D:D, C95, PurchaseData!F:F) * E95, 0)</f>
        <v>0</v>
      </c>
    </row>
    <row r="96" spans="1:6" x14ac:dyDescent="0.35">
      <c r="A96" s="1" t="s">
        <v>82</v>
      </c>
      <c r="B96" s="1" t="s">
        <v>7</v>
      </c>
      <c r="C96" s="1" t="s">
        <v>51</v>
      </c>
      <c r="D96" s="1" t="s">
        <v>22</v>
      </c>
      <c r="E96" s="8">
        <v>0</v>
      </c>
      <c r="F96" s="1">
        <f>IFERROR(AVERAGEIF(PurchaseData!D:D, C96, PurchaseData!F:F) * E96, 0)</f>
        <v>0</v>
      </c>
    </row>
    <row r="97" spans="1:6" x14ac:dyDescent="0.35">
      <c r="A97" s="1" t="s">
        <v>82</v>
      </c>
      <c r="B97" s="1" t="s">
        <v>7</v>
      </c>
      <c r="C97" s="1" t="s">
        <v>52</v>
      </c>
      <c r="D97" s="1" t="s">
        <v>53</v>
      </c>
      <c r="E97" s="8">
        <v>0</v>
      </c>
      <c r="F97" s="1">
        <f>IFERROR(AVERAGEIF(PurchaseData!D:D, C97, PurchaseData!F:F) * E97, 0)</f>
        <v>0</v>
      </c>
    </row>
    <row r="98" spans="1:6" x14ac:dyDescent="0.35">
      <c r="A98" s="1" t="s">
        <v>82</v>
      </c>
      <c r="B98" s="1" t="s">
        <v>7</v>
      </c>
      <c r="C98" s="1" t="s">
        <v>54</v>
      </c>
      <c r="D98" s="1" t="s">
        <v>29</v>
      </c>
      <c r="E98" s="8">
        <v>0.2</v>
      </c>
      <c r="F98" s="1">
        <f>IFERROR(AVERAGEIF(PurchaseData!D:D, C98, PurchaseData!F:F) * E98, 0)</f>
        <v>170</v>
      </c>
    </row>
    <row r="99" spans="1:6" x14ac:dyDescent="0.35">
      <c r="A99" s="1" t="s">
        <v>16</v>
      </c>
      <c r="B99" s="1" t="s">
        <v>7</v>
      </c>
      <c r="C99" s="1" t="s">
        <v>107</v>
      </c>
      <c r="D99" s="1" t="s">
        <v>108</v>
      </c>
      <c r="E99" s="8">
        <v>180</v>
      </c>
      <c r="F99" s="1">
        <f>IFERROR(AVERAGEIF(PurchaseData!D:D, C99, PurchaseData!F:F) * E99, 0)</f>
        <v>1440</v>
      </c>
    </row>
    <row r="100" spans="1:6" x14ac:dyDescent="0.35">
      <c r="A100" s="1" t="s">
        <v>16</v>
      </c>
      <c r="B100" s="1" t="s">
        <v>7</v>
      </c>
      <c r="C100" s="1" t="s">
        <v>109</v>
      </c>
      <c r="D100" s="1" t="s">
        <v>22</v>
      </c>
      <c r="E100" s="8">
        <v>1.5</v>
      </c>
      <c r="F100" s="1">
        <f>IFERROR(AVERAGEIF(PurchaseData!D:D, C100, PurchaseData!F:F) * E100, 0)</f>
        <v>105</v>
      </c>
    </row>
    <row r="101" spans="1:6" x14ac:dyDescent="0.35">
      <c r="A101" s="1" t="s">
        <v>16</v>
      </c>
      <c r="B101" s="1" t="s">
        <v>7</v>
      </c>
      <c r="C101" s="1" t="s">
        <v>110</v>
      </c>
      <c r="D101" s="1" t="s">
        <v>24</v>
      </c>
      <c r="E101" s="8">
        <v>0.5</v>
      </c>
      <c r="F101" s="1">
        <f>IFERROR(AVERAGEIF(PurchaseData!D:D, C101, PurchaseData!F:F) * E101, 0)</f>
        <v>400</v>
      </c>
    </row>
    <row r="102" spans="1:6" x14ac:dyDescent="0.35">
      <c r="A102" s="1" t="s">
        <v>16</v>
      </c>
      <c r="B102" s="1" t="s">
        <v>7</v>
      </c>
      <c r="C102" s="1" t="s">
        <v>111</v>
      </c>
      <c r="D102" s="1" t="s">
        <v>22</v>
      </c>
      <c r="E102" s="8">
        <v>0.05</v>
      </c>
      <c r="F102" s="1">
        <f>IFERROR(AVERAGEIF(PurchaseData!D:D, C102, PurchaseData!F:F) * E102, 0)</f>
        <v>4.5</v>
      </c>
    </row>
    <row r="103" spans="1:6" x14ac:dyDescent="0.35">
      <c r="A103" s="1" t="s">
        <v>16</v>
      </c>
      <c r="B103" s="1" t="s">
        <v>7</v>
      </c>
      <c r="C103" s="1" t="s">
        <v>112</v>
      </c>
      <c r="D103" s="1" t="s">
        <v>24</v>
      </c>
      <c r="E103" s="8">
        <v>0.1</v>
      </c>
      <c r="F103" s="1">
        <f>IFERROR(AVERAGEIF(PurchaseData!D:D, C103, PurchaseData!F:F) * E103, 0)</f>
        <v>30</v>
      </c>
    </row>
    <row r="104" spans="1:6" x14ac:dyDescent="0.35">
      <c r="A104" s="1" t="s">
        <v>82</v>
      </c>
      <c r="B104" s="1" t="s">
        <v>8</v>
      </c>
      <c r="C104" s="1" t="s">
        <v>8</v>
      </c>
      <c r="D104" s="1" t="s">
        <v>17</v>
      </c>
      <c r="E104" s="8">
        <v>1</v>
      </c>
      <c r="F104" s="1">
        <f>IFERROR(AVERAGEIF(PurchaseData!D:D, C104, PurchaseData!F:F) * E104, 0)</f>
        <v>0</v>
      </c>
    </row>
    <row r="105" spans="1:6" x14ac:dyDescent="0.35">
      <c r="A105" s="1" t="s">
        <v>82</v>
      </c>
      <c r="B105" s="1" t="s">
        <v>8</v>
      </c>
      <c r="C105" s="1" t="s">
        <v>106</v>
      </c>
      <c r="D105" s="1" t="s">
        <v>19</v>
      </c>
      <c r="E105" s="8">
        <v>16</v>
      </c>
      <c r="F105" s="1">
        <f>IFERROR(AVERAGEIF(PurchaseData!D:D, C105, PurchaseData!F:F) * E105, 0)</f>
        <v>0</v>
      </c>
    </row>
    <row r="106" spans="1:6" x14ac:dyDescent="0.35">
      <c r="A106" s="1" t="s">
        <v>82</v>
      </c>
      <c r="B106" s="1" t="s">
        <v>8</v>
      </c>
      <c r="C106" s="1" t="s">
        <v>21</v>
      </c>
      <c r="D106" s="1" t="s">
        <v>22</v>
      </c>
      <c r="E106" s="8">
        <v>5</v>
      </c>
      <c r="F106" s="1">
        <f>IFERROR(AVERAGEIF(PurchaseData!D:D, C106, PurchaseData!F:F) * E106, 0)</f>
        <v>1000</v>
      </c>
    </row>
    <row r="107" spans="1:6" x14ac:dyDescent="0.35">
      <c r="A107" s="1" t="s">
        <v>82</v>
      </c>
      <c r="B107" s="1" t="s">
        <v>8</v>
      </c>
      <c r="C107" s="1" t="s">
        <v>23</v>
      </c>
      <c r="D107" s="1" t="s">
        <v>24</v>
      </c>
      <c r="E107" s="8">
        <v>1</v>
      </c>
      <c r="F107" s="1">
        <f>IFERROR(AVERAGEIF(PurchaseData!D:D, C107, PurchaseData!F:F) * E107, 0)</f>
        <v>100</v>
      </c>
    </row>
    <row r="108" spans="1:6" x14ac:dyDescent="0.35">
      <c r="A108" s="1" t="s">
        <v>82</v>
      </c>
      <c r="B108" s="1" t="s">
        <v>8</v>
      </c>
      <c r="C108" s="1" t="s">
        <v>25</v>
      </c>
      <c r="D108" s="1" t="s">
        <v>17</v>
      </c>
      <c r="E108" s="8">
        <v>1</v>
      </c>
      <c r="F108" s="1">
        <f>IFERROR(AVERAGEIF(PurchaseData!D:D, C108, PurchaseData!F:F) * E108, 0)</f>
        <v>150</v>
      </c>
    </row>
    <row r="109" spans="1:6" x14ac:dyDescent="0.35">
      <c r="A109" s="1" t="s">
        <v>82</v>
      </c>
      <c r="B109" s="1" t="s">
        <v>8</v>
      </c>
      <c r="C109" s="1" t="s">
        <v>26</v>
      </c>
      <c r="D109" s="1" t="s">
        <v>17</v>
      </c>
      <c r="E109" s="8">
        <v>0</v>
      </c>
      <c r="F109" s="1">
        <f>IFERROR(AVERAGEIF(PurchaseData!D:D, C109, PurchaseData!F:F) * E109, 0)</f>
        <v>0</v>
      </c>
    </row>
    <row r="110" spans="1:6" x14ac:dyDescent="0.35">
      <c r="A110" s="1" t="s">
        <v>82</v>
      </c>
      <c r="B110" s="1" t="s">
        <v>8</v>
      </c>
      <c r="C110" s="1" t="s">
        <v>27</v>
      </c>
      <c r="D110" s="1" t="s">
        <v>19</v>
      </c>
      <c r="E110" s="8">
        <v>2</v>
      </c>
      <c r="F110" s="1">
        <f>IFERROR(AVERAGEIF(PurchaseData!D:D, C110, PurchaseData!F:F) * E110, 0)</f>
        <v>120</v>
      </c>
    </row>
    <row r="111" spans="1:6" x14ac:dyDescent="0.35">
      <c r="A111" s="1" t="s">
        <v>82</v>
      </c>
      <c r="B111" s="1" t="s">
        <v>8</v>
      </c>
      <c r="C111" s="1" t="s">
        <v>28</v>
      </c>
      <c r="D111" s="1" t="s">
        <v>29</v>
      </c>
      <c r="E111" s="8">
        <v>0.2</v>
      </c>
      <c r="F111" s="1">
        <f>IFERROR(AVERAGEIF(PurchaseData!D:D, C111, PurchaseData!F:F) * E111, 0)</f>
        <v>20</v>
      </c>
    </row>
    <row r="112" spans="1:6" x14ac:dyDescent="0.35">
      <c r="A112" s="1" t="s">
        <v>82</v>
      </c>
      <c r="B112" s="1" t="s">
        <v>8</v>
      </c>
      <c r="C112" s="1" t="s">
        <v>30</v>
      </c>
      <c r="D112" s="1" t="s">
        <v>17</v>
      </c>
      <c r="E112" s="8">
        <v>25</v>
      </c>
      <c r="F112" s="1">
        <f>IFERROR(AVERAGEIF(PurchaseData!D:D, C112, PurchaseData!F:F) * E112, 0)</f>
        <v>125</v>
      </c>
    </row>
    <row r="113" spans="1:6" x14ac:dyDescent="0.35">
      <c r="A113" s="1" t="s">
        <v>82</v>
      </c>
      <c r="B113" s="1" t="s">
        <v>8</v>
      </c>
      <c r="C113" s="1" t="s">
        <v>31</v>
      </c>
      <c r="D113" s="1" t="s">
        <v>17</v>
      </c>
      <c r="E113" s="8">
        <v>50</v>
      </c>
      <c r="F113" s="1">
        <f>IFERROR(AVERAGEIF(PurchaseData!D:D, C113, PurchaseData!F:F) * E113, 0)</f>
        <v>250</v>
      </c>
    </row>
    <row r="114" spans="1:6" x14ac:dyDescent="0.35">
      <c r="A114" s="1" t="s">
        <v>82</v>
      </c>
      <c r="B114" s="1" t="s">
        <v>8</v>
      </c>
      <c r="C114" s="1" t="s">
        <v>32</v>
      </c>
      <c r="D114" s="1" t="s">
        <v>17</v>
      </c>
      <c r="E114" s="8">
        <v>50</v>
      </c>
      <c r="F114" s="1">
        <f>IFERROR(AVERAGEIF(PurchaseData!D:D, C114, PurchaseData!F:F) * E114, 0)</f>
        <v>500</v>
      </c>
    </row>
    <row r="115" spans="1:6" x14ac:dyDescent="0.35">
      <c r="A115" s="1" t="s">
        <v>82</v>
      </c>
      <c r="B115" s="1" t="s">
        <v>8</v>
      </c>
      <c r="C115" s="1" t="s">
        <v>33</v>
      </c>
      <c r="D115" s="1" t="s">
        <v>22</v>
      </c>
      <c r="E115" s="8">
        <v>0.2</v>
      </c>
      <c r="F115" s="1">
        <f>IFERROR(AVERAGEIF(PurchaseData!D:D, C115, PurchaseData!F:F) * E115, 0)</f>
        <v>40</v>
      </c>
    </row>
    <row r="116" spans="1:6" x14ac:dyDescent="0.35">
      <c r="A116" s="1" t="s">
        <v>82</v>
      </c>
      <c r="B116" s="1" t="s">
        <v>8</v>
      </c>
      <c r="C116" s="1" t="s">
        <v>34</v>
      </c>
      <c r="D116" s="1" t="s">
        <v>24</v>
      </c>
      <c r="E116" s="8">
        <v>2</v>
      </c>
      <c r="F116" s="1">
        <f>IFERROR(AVERAGEIF(PurchaseData!D:D, C116, PurchaseData!F:F) * E116, 0)</f>
        <v>400</v>
      </c>
    </row>
    <row r="117" spans="1:6" x14ac:dyDescent="0.35">
      <c r="A117" s="1" t="s">
        <v>82</v>
      </c>
      <c r="B117" s="1" t="s">
        <v>8</v>
      </c>
      <c r="C117" s="1" t="s">
        <v>35</v>
      </c>
      <c r="D117" s="1" t="s">
        <v>36</v>
      </c>
      <c r="E117" s="8">
        <v>2</v>
      </c>
      <c r="F117" s="1">
        <f>IFERROR(AVERAGEIF(PurchaseData!D:D, C117, PurchaseData!F:F) * E117, 0)</f>
        <v>40</v>
      </c>
    </row>
    <row r="118" spans="1:6" x14ac:dyDescent="0.35">
      <c r="A118" s="1" t="s">
        <v>82</v>
      </c>
      <c r="B118" s="1" t="s">
        <v>8</v>
      </c>
      <c r="C118" s="1" t="s">
        <v>37</v>
      </c>
      <c r="D118" s="1" t="s">
        <v>22</v>
      </c>
      <c r="E118" s="8">
        <v>1</v>
      </c>
      <c r="F118" s="1">
        <f>IFERROR(AVERAGEIF(PurchaseData!D:D, C118, PurchaseData!F:F) * E118, 0)</f>
        <v>30</v>
      </c>
    </row>
    <row r="119" spans="1:6" x14ac:dyDescent="0.35">
      <c r="A119" s="1" t="s">
        <v>82</v>
      </c>
      <c r="B119" s="1" t="s">
        <v>8</v>
      </c>
      <c r="C119" s="1" t="s">
        <v>38</v>
      </c>
      <c r="D119" s="1" t="s">
        <v>29</v>
      </c>
      <c r="E119" s="8">
        <v>1.6</v>
      </c>
      <c r="F119" s="1">
        <f>IFERROR(AVERAGEIF(PurchaseData!D:D, C119, PurchaseData!F:F) * E119, 0)</f>
        <v>192</v>
      </c>
    </row>
    <row r="120" spans="1:6" x14ac:dyDescent="0.35">
      <c r="A120" s="1" t="s">
        <v>82</v>
      </c>
      <c r="B120" s="1" t="s">
        <v>8</v>
      </c>
      <c r="C120" s="1" t="s">
        <v>39</v>
      </c>
      <c r="D120" s="1" t="s">
        <v>29</v>
      </c>
      <c r="E120" s="8">
        <v>0</v>
      </c>
      <c r="F120" s="1">
        <f>IFERROR(AVERAGEIF(PurchaseData!D:D, C120, PurchaseData!F:F) * E120, 0)</f>
        <v>0</v>
      </c>
    </row>
    <row r="121" spans="1:6" x14ac:dyDescent="0.35">
      <c r="A121" s="1" t="s">
        <v>82</v>
      </c>
      <c r="B121" s="1" t="s">
        <v>8</v>
      </c>
      <c r="C121" s="1" t="s">
        <v>40</v>
      </c>
      <c r="D121" s="1" t="s">
        <v>22</v>
      </c>
      <c r="E121" s="8">
        <v>1.5</v>
      </c>
      <c r="F121" s="1">
        <f>IFERROR(AVERAGEIF(PurchaseData!D:D, C121, PurchaseData!F:F) * E121, 0)</f>
        <v>187.5</v>
      </c>
    </row>
    <row r="122" spans="1:6" x14ac:dyDescent="0.35">
      <c r="A122" s="1" t="s">
        <v>82</v>
      </c>
      <c r="B122" s="1" t="s">
        <v>8</v>
      </c>
      <c r="C122" s="1" t="s">
        <v>41</v>
      </c>
      <c r="D122" s="1" t="s">
        <v>29</v>
      </c>
      <c r="E122" s="8">
        <v>0</v>
      </c>
      <c r="F122" s="1">
        <f>IFERROR(AVERAGEIF(PurchaseData!D:D, C122, PurchaseData!F:F) * E122, 0)</f>
        <v>0</v>
      </c>
    </row>
    <row r="123" spans="1:6" x14ac:dyDescent="0.35">
      <c r="A123" s="1" t="s">
        <v>82</v>
      </c>
      <c r="B123" s="1" t="s">
        <v>8</v>
      </c>
      <c r="C123" s="1" t="s">
        <v>42</v>
      </c>
      <c r="D123" s="1" t="s">
        <v>43</v>
      </c>
      <c r="E123" s="8">
        <v>0</v>
      </c>
      <c r="F123" s="1">
        <f>IFERROR(AVERAGEIF(PurchaseData!D:D, C123, PurchaseData!F:F) * E123, 0)</f>
        <v>0</v>
      </c>
    </row>
    <row r="124" spans="1:6" x14ac:dyDescent="0.35">
      <c r="A124" s="1" t="s">
        <v>82</v>
      </c>
      <c r="B124" s="1" t="s">
        <v>8</v>
      </c>
      <c r="C124" s="1" t="s">
        <v>44</v>
      </c>
      <c r="D124" s="1" t="s">
        <v>45</v>
      </c>
      <c r="E124" s="8">
        <v>1.5</v>
      </c>
      <c r="F124" s="1">
        <f>IFERROR(AVERAGEIF(PurchaseData!D:D, C124, PurchaseData!F:F) * E124, 0)</f>
        <v>247.5</v>
      </c>
    </row>
    <row r="125" spans="1:6" x14ac:dyDescent="0.35">
      <c r="A125" s="1" t="s">
        <v>82</v>
      </c>
      <c r="B125" s="1" t="s">
        <v>8</v>
      </c>
      <c r="C125" s="1" t="s">
        <v>46</v>
      </c>
      <c r="D125" s="1" t="s">
        <v>17</v>
      </c>
      <c r="E125" s="8">
        <v>14</v>
      </c>
      <c r="F125" s="1">
        <f>IFERROR(AVERAGEIF(PurchaseData!D:D, C125, PurchaseData!F:F) * E125, 0)</f>
        <v>0</v>
      </c>
    </row>
    <row r="126" spans="1:6" x14ac:dyDescent="0.35">
      <c r="A126" s="1" t="s">
        <v>82</v>
      </c>
      <c r="B126" s="1" t="s">
        <v>8</v>
      </c>
      <c r="C126" s="1" t="s">
        <v>47</v>
      </c>
      <c r="D126" s="1" t="s">
        <v>19</v>
      </c>
      <c r="E126" s="8">
        <v>5</v>
      </c>
      <c r="F126" s="1">
        <f>IFERROR(AVERAGEIF(PurchaseData!D:D, C126, PurchaseData!F:F) * E126, 0)</f>
        <v>50</v>
      </c>
    </row>
    <row r="127" spans="1:6" x14ac:dyDescent="0.35">
      <c r="A127" s="1" t="s">
        <v>82</v>
      </c>
      <c r="B127" s="1" t="s">
        <v>8</v>
      </c>
      <c r="C127" s="1" t="s">
        <v>48</v>
      </c>
      <c r="D127" s="1" t="s">
        <v>24</v>
      </c>
      <c r="E127" s="8">
        <v>0</v>
      </c>
      <c r="F127" s="1">
        <f>IFERROR(AVERAGEIF(PurchaseData!D:D, C127, PurchaseData!F:F) * E127, 0)</f>
        <v>0</v>
      </c>
    </row>
    <row r="128" spans="1:6" x14ac:dyDescent="0.35">
      <c r="A128" s="1" t="s">
        <v>82</v>
      </c>
      <c r="B128" s="1" t="s">
        <v>8</v>
      </c>
      <c r="C128" s="1" t="s">
        <v>49</v>
      </c>
      <c r="D128" s="1" t="s">
        <v>24</v>
      </c>
      <c r="E128" s="8">
        <v>0</v>
      </c>
      <c r="F128" s="1">
        <f>IFERROR(AVERAGEIF(PurchaseData!D:D, C128, PurchaseData!F:F) * E128, 0)</f>
        <v>0</v>
      </c>
    </row>
    <row r="129" spans="1:6" x14ac:dyDescent="0.35">
      <c r="A129" s="1" t="s">
        <v>82</v>
      </c>
      <c r="B129" s="1" t="s">
        <v>8</v>
      </c>
      <c r="C129" s="1" t="s">
        <v>50</v>
      </c>
      <c r="D129" s="1" t="s">
        <v>19</v>
      </c>
      <c r="E129" s="8">
        <v>0</v>
      </c>
      <c r="F129" s="1">
        <f>IFERROR(AVERAGEIF(PurchaseData!D:D, C129, PurchaseData!F:F) * E129, 0)</f>
        <v>0</v>
      </c>
    </row>
    <row r="130" spans="1:6" x14ac:dyDescent="0.35">
      <c r="A130" s="1" t="s">
        <v>82</v>
      </c>
      <c r="B130" s="1" t="s">
        <v>8</v>
      </c>
      <c r="C130" s="1" t="s">
        <v>51</v>
      </c>
      <c r="D130" s="1" t="s">
        <v>22</v>
      </c>
      <c r="E130" s="8">
        <v>0</v>
      </c>
      <c r="F130" s="1">
        <f>IFERROR(AVERAGEIF(PurchaseData!D:D, C130, PurchaseData!F:F) * E130, 0)</f>
        <v>0</v>
      </c>
    </row>
    <row r="131" spans="1:6" x14ac:dyDescent="0.35">
      <c r="A131" s="1" t="s">
        <v>82</v>
      </c>
      <c r="B131" s="1" t="s">
        <v>8</v>
      </c>
      <c r="C131" s="1" t="s">
        <v>52</v>
      </c>
      <c r="D131" s="1" t="s">
        <v>53</v>
      </c>
      <c r="E131" s="8">
        <v>0</v>
      </c>
      <c r="F131" s="1">
        <f>IFERROR(AVERAGEIF(PurchaseData!D:D, C131, PurchaseData!F:F) * E131, 0)</f>
        <v>0</v>
      </c>
    </row>
    <row r="132" spans="1:6" x14ac:dyDescent="0.35">
      <c r="A132" s="1" t="s">
        <v>82</v>
      </c>
      <c r="B132" s="1" t="s">
        <v>8</v>
      </c>
      <c r="C132" s="1" t="s">
        <v>54</v>
      </c>
      <c r="D132" s="1" t="s">
        <v>29</v>
      </c>
      <c r="E132" s="8">
        <v>0.2</v>
      </c>
      <c r="F132" s="1">
        <f>IFERROR(AVERAGEIF(PurchaseData!D:D, C132, PurchaseData!F:F) * E132, 0)</f>
        <v>170</v>
      </c>
    </row>
    <row r="133" spans="1:6" x14ac:dyDescent="0.35">
      <c r="A133" s="1" t="s">
        <v>16</v>
      </c>
      <c r="B133" s="1" t="s">
        <v>8</v>
      </c>
      <c r="C133" s="1" t="s">
        <v>107</v>
      </c>
      <c r="D133" s="1" t="s">
        <v>108</v>
      </c>
      <c r="E133" s="8">
        <v>250</v>
      </c>
      <c r="F133" s="1">
        <f>IFERROR(AVERAGEIF(PurchaseData!D:D, C133, PurchaseData!F:F) * E133, 0)</f>
        <v>2000</v>
      </c>
    </row>
    <row r="134" spans="1:6" x14ac:dyDescent="0.35">
      <c r="A134" s="1" t="s">
        <v>16</v>
      </c>
      <c r="B134" s="1" t="s">
        <v>8</v>
      </c>
      <c r="C134" s="1" t="s">
        <v>109</v>
      </c>
      <c r="D134" s="1" t="s">
        <v>22</v>
      </c>
      <c r="E134" s="8">
        <v>1.5</v>
      </c>
      <c r="F134" s="1">
        <f>IFERROR(AVERAGEIF(PurchaseData!D:D, C134, PurchaseData!F:F) * E134, 0)</f>
        <v>105</v>
      </c>
    </row>
    <row r="135" spans="1:6" x14ac:dyDescent="0.35">
      <c r="A135" s="1" t="s">
        <v>16</v>
      </c>
      <c r="B135" s="1" t="s">
        <v>8</v>
      </c>
      <c r="C135" s="1" t="s">
        <v>110</v>
      </c>
      <c r="D135" s="1" t="s">
        <v>24</v>
      </c>
      <c r="E135" s="8">
        <v>0.5</v>
      </c>
      <c r="F135" s="1">
        <f>IFERROR(AVERAGEIF(PurchaseData!D:D, C135, PurchaseData!F:F) * E135, 0)</f>
        <v>400</v>
      </c>
    </row>
    <row r="136" spans="1:6" x14ac:dyDescent="0.35">
      <c r="A136" s="1" t="s">
        <v>16</v>
      </c>
      <c r="B136" s="1" t="s">
        <v>8</v>
      </c>
      <c r="C136" s="1" t="s">
        <v>111</v>
      </c>
      <c r="D136" s="1" t="s">
        <v>22</v>
      </c>
      <c r="E136" s="8">
        <v>0.05</v>
      </c>
      <c r="F136" s="1">
        <f>IFERROR(AVERAGEIF(PurchaseData!D:D, C136, PurchaseData!F:F) * E136, 0)</f>
        <v>4.5</v>
      </c>
    </row>
    <row r="137" spans="1:6" x14ac:dyDescent="0.35">
      <c r="A137" s="1" t="s">
        <v>16</v>
      </c>
      <c r="B137" s="1" t="s">
        <v>8</v>
      </c>
      <c r="C137" s="1" t="s">
        <v>112</v>
      </c>
      <c r="D137" s="1" t="s">
        <v>24</v>
      </c>
      <c r="E137" s="8">
        <v>0.1</v>
      </c>
      <c r="F137" s="1">
        <f>IFERROR(AVERAGEIF(PurchaseData!D:D, C137, PurchaseData!F:F) * E137, 0)</f>
        <v>30</v>
      </c>
    </row>
    <row r="138" spans="1:6" x14ac:dyDescent="0.35">
      <c r="A138" s="1" t="s">
        <v>82</v>
      </c>
      <c r="B138" s="1" t="s">
        <v>59</v>
      </c>
      <c r="C138" s="1" t="s">
        <v>59</v>
      </c>
      <c r="D138" s="1" t="s">
        <v>17</v>
      </c>
      <c r="E138" s="8">
        <v>1</v>
      </c>
      <c r="F138" s="1">
        <f>IFERROR(AVERAGEIF(PurchaseData!D:D, C138, PurchaseData!F:F) * E138, 0)</f>
        <v>2200</v>
      </c>
    </row>
    <row r="139" spans="1:6" x14ac:dyDescent="0.35">
      <c r="A139" s="1" t="s">
        <v>82</v>
      </c>
      <c r="B139" s="1" t="s">
        <v>59</v>
      </c>
      <c r="C139" s="1" t="s">
        <v>106</v>
      </c>
      <c r="D139" s="1" t="s">
        <v>19</v>
      </c>
      <c r="E139" s="8">
        <v>14</v>
      </c>
      <c r="F139" s="1">
        <f>IFERROR(AVERAGEIF(PurchaseData!D:D, C139, PurchaseData!F:F) * E139, 0)</f>
        <v>0</v>
      </c>
    </row>
    <row r="140" spans="1:6" x14ac:dyDescent="0.35">
      <c r="A140" s="1" t="s">
        <v>82</v>
      </c>
      <c r="B140" s="1" t="s">
        <v>59</v>
      </c>
      <c r="C140" s="1" t="s">
        <v>21</v>
      </c>
      <c r="D140" s="1" t="s">
        <v>22</v>
      </c>
      <c r="E140" s="8">
        <v>2</v>
      </c>
      <c r="F140" s="1">
        <f>IFERROR(AVERAGEIF(PurchaseData!D:D, C140, PurchaseData!F:F) * E140, 0)</f>
        <v>400</v>
      </c>
    </row>
    <row r="141" spans="1:6" x14ac:dyDescent="0.35">
      <c r="A141" s="1" t="s">
        <v>82</v>
      </c>
      <c r="B141" s="1" t="s">
        <v>59</v>
      </c>
      <c r="C141" s="1" t="s">
        <v>23</v>
      </c>
      <c r="D141" s="1" t="s">
        <v>24</v>
      </c>
      <c r="E141" s="8">
        <v>3</v>
      </c>
      <c r="F141" s="1">
        <f>IFERROR(AVERAGEIF(PurchaseData!D:D, C141, PurchaseData!F:F) * E141, 0)</f>
        <v>300</v>
      </c>
    </row>
    <row r="142" spans="1:6" x14ac:dyDescent="0.35">
      <c r="A142" s="1" t="s">
        <v>82</v>
      </c>
      <c r="B142" s="1" t="s">
        <v>59</v>
      </c>
      <c r="C142" s="1" t="s">
        <v>25</v>
      </c>
      <c r="D142" s="1" t="s">
        <v>17</v>
      </c>
      <c r="E142" s="8">
        <v>1</v>
      </c>
      <c r="F142" s="1">
        <f>IFERROR(AVERAGEIF(PurchaseData!D:D, C142, PurchaseData!F:F) * E142, 0)</f>
        <v>150</v>
      </c>
    </row>
    <row r="143" spans="1:6" x14ac:dyDescent="0.35">
      <c r="A143" s="1" t="s">
        <v>82</v>
      </c>
      <c r="B143" s="1" t="s">
        <v>59</v>
      </c>
      <c r="C143" s="1" t="s">
        <v>26</v>
      </c>
      <c r="D143" s="1" t="s">
        <v>17</v>
      </c>
      <c r="E143" s="8">
        <v>0.5</v>
      </c>
      <c r="F143" s="1">
        <f>IFERROR(AVERAGEIF(PurchaseData!D:D, C143, PurchaseData!F:F) * E143, 0)</f>
        <v>60</v>
      </c>
    </row>
    <row r="144" spans="1:6" x14ac:dyDescent="0.35">
      <c r="A144" s="1" t="s">
        <v>82</v>
      </c>
      <c r="B144" s="1" t="s">
        <v>59</v>
      </c>
      <c r="C144" s="1" t="s">
        <v>27</v>
      </c>
      <c r="D144" s="1" t="s">
        <v>19</v>
      </c>
      <c r="E144" s="8">
        <v>1</v>
      </c>
      <c r="F144" s="1">
        <f>IFERROR(AVERAGEIF(PurchaseData!D:D, C144, PurchaseData!F:F) * E144, 0)</f>
        <v>60</v>
      </c>
    </row>
    <row r="145" spans="1:6" x14ac:dyDescent="0.35">
      <c r="A145" s="1" t="s">
        <v>82</v>
      </c>
      <c r="B145" s="1" t="s">
        <v>59</v>
      </c>
      <c r="C145" s="1" t="s">
        <v>28</v>
      </c>
      <c r="D145" s="1" t="s">
        <v>29</v>
      </c>
      <c r="E145" s="8">
        <v>0.2</v>
      </c>
      <c r="F145" s="1">
        <f>IFERROR(AVERAGEIF(PurchaseData!D:D, C145, PurchaseData!F:F) * E145, 0)</f>
        <v>20</v>
      </c>
    </row>
    <row r="146" spans="1:6" x14ac:dyDescent="0.35">
      <c r="A146" s="1" t="s">
        <v>82</v>
      </c>
      <c r="B146" s="1" t="s">
        <v>59</v>
      </c>
      <c r="C146" s="1" t="s">
        <v>30</v>
      </c>
      <c r="D146" s="1" t="s">
        <v>17</v>
      </c>
      <c r="E146" s="8">
        <v>25</v>
      </c>
      <c r="F146" s="1">
        <f>IFERROR(AVERAGEIF(PurchaseData!D:D, C146, PurchaseData!F:F) * E146, 0)</f>
        <v>125</v>
      </c>
    </row>
    <row r="147" spans="1:6" x14ac:dyDescent="0.35">
      <c r="A147" s="1" t="s">
        <v>82</v>
      </c>
      <c r="B147" s="1" t="s">
        <v>59</v>
      </c>
      <c r="C147" s="1" t="s">
        <v>31</v>
      </c>
      <c r="D147" s="1" t="s">
        <v>17</v>
      </c>
      <c r="E147" s="8">
        <v>15</v>
      </c>
      <c r="F147" s="1">
        <f>IFERROR(AVERAGEIF(PurchaseData!D:D, C147, PurchaseData!F:F) * E147, 0)</f>
        <v>75</v>
      </c>
    </row>
    <row r="148" spans="1:6" x14ac:dyDescent="0.35">
      <c r="A148" s="1" t="s">
        <v>82</v>
      </c>
      <c r="B148" s="1" t="s">
        <v>59</v>
      </c>
      <c r="C148" s="1" t="s">
        <v>32</v>
      </c>
      <c r="D148" s="1" t="s">
        <v>17</v>
      </c>
      <c r="E148" s="8">
        <v>0</v>
      </c>
      <c r="F148" s="1">
        <f>IFERROR(AVERAGEIF(PurchaseData!D:D, C148, PurchaseData!F:F) * E148, 0)</f>
        <v>0</v>
      </c>
    </row>
    <row r="149" spans="1:6" x14ac:dyDescent="0.35">
      <c r="A149" s="1" t="s">
        <v>82</v>
      </c>
      <c r="B149" s="1" t="s">
        <v>59</v>
      </c>
      <c r="C149" s="1" t="s">
        <v>33</v>
      </c>
      <c r="D149" s="1" t="s">
        <v>22</v>
      </c>
      <c r="E149" s="8">
        <v>0.2</v>
      </c>
      <c r="F149" s="1">
        <f>IFERROR(AVERAGEIF(PurchaseData!D:D, C149, PurchaseData!F:F) * E149, 0)</f>
        <v>40</v>
      </c>
    </row>
    <row r="150" spans="1:6" x14ac:dyDescent="0.35">
      <c r="A150" s="1" t="s">
        <v>82</v>
      </c>
      <c r="B150" s="1" t="s">
        <v>59</v>
      </c>
      <c r="C150" s="1" t="s">
        <v>34</v>
      </c>
      <c r="D150" s="1" t="s">
        <v>24</v>
      </c>
      <c r="E150" s="8">
        <v>0</v>
      </c>
      <c r="F150" s="1">
        <f>IFERROR(AVERAGEIF(PurchaseData!D:D, C150, PurchaseData!F:F) * E150, 0)</f>
        <v>0</v>
      </c>
    </row>
    <row r="151" spans="1:6" x14ac:dyDescent="0.35">
      <c r="A151" s="1" t="s">
        <v>82</v>
      </c>
      <c r="B151" s="1" t="s">
        <v>59</v>
      </c>
      <c r="C151" s="1" t="s">
        <v>35</v>
      </c>
      <c r="D151" s="1" t="s">
        <v>36</v>
      </c>
      <c r="E151" s="8">
        <v>5</v>
      </c>
      <c r="F151" s="1">
        <f>IFERROR(AVERAGEIF(PurchaseData!D:D, C151, PurchaseData!F:F) * E151, 0)</f>
        <v>100</v>
      </c>
    </row>
    <row r="152" spans="1:6" x14ac:dyDescent="0.35">
      <c r="A152" s="1" t="s">
        <v>82</v>
      </c>
      <c r="B152" s="1" t="s">
        <v>59</v>
      </c>
      <c r="C152" s="1" t="s">
        <v>37</v>
      </c>
      <c r="D152" s="1" t="s">
        <v>22</v>
      </c>
      <c r="E152" s="8">
        <v>1</v>
      </c>
      <c r="F152" s="1">
        <f>IFERROR(AVERAGEIF(PurchaseData!D:D, C152, PurchaseData!F:F) * E152, 0)</f>
        <v>30</v>
      </c>
    </row>
    <row r="153" spans="1:6" x14ac:dyDescent="0.35">
      <c r="A153" s="1" t="s">
        <v>82</v>
      </c>
      <c r="B153" s="1" t="s">
        <v>59</v>
      </c>
      <c r="C153" s="1" t="s">
        <v>38</v>
      </c>
      <c r="D153" s="1" t="s">
        <v>29</v>
      </c>
      <c r="E153" s="8">
        <v>1.6</v>
      </c>
      <c r="F153" s="1">
        <f>IFERROR(AVERAGEIF(PurchaseData!D:D, C153, PurchaseData!F:F) * E153, 0)</f>
        <v>192</v>
      </c>
    </row>
    <row r="154" spans="1:6" x14ac:dyDescent="0.35">
      <c r="A154" s="1" t="s">
        <v>82</v>
      </c>
      <c r="B154" s="1" t="s">
        <v>59</v>
      </c>
      <c r="C154" s="1" t="s">
        <v>39</v>
      </c>
      <c r="D154" s="1" t="s">
        <v>29</v>
      </c>
      <c r="E154" s="8">
        <v>0</v>
      </c>
      <c r="F154" s="1">
        <f>IFERROR(AVERAGEIF(PurchaseData!D:D, C154, PurchaseData!F:F) * E154, 0)</f>
        <v>0</v>
      </c>
    </row>
    <row r="155" spans="1:6" x14ac:dyDescent="0.35">
      <c r="A155" s="1" t="s">
        <v>82</v>
      </c>
      <c r="B155" s="1" t="s">
        <v>59</v>
      </c>
      <c r="C155" s="1" t="s">
        <v>40</v>
      </c>
      <c r="D155" s="1" t="s">
        <v>22</v>
      </c>
      <c r="E155" s="8">
        <v>1.5</v>
      </c>
      <c r="F155" s="1">
        <f>IFERROR(AVERAGEIF(PurchaseData!D:D, C155, PurchaseData!F:F) * E155, 0)</f>
        <v>187.5</v>
      </c>
    </row>
    <row r="156" spans="1:6" x14ac:dyDescent="0.35">
      <c r="A156" s="1" t="s">
        <v>82</v>
      </c>
      <c r="B156" s="1" t="s">
        <v>59</v>
      </c>
      <c r="C156" s="1" t="s">
        <v>41</v>
      </c>
      <c r="D156" s="1" t="s">
        <v>29</v>
      </c>
      <c r="E156" s="8">
        <v>10</v>
      </c>
      <c r="F156" s="1">
        <f>IFERROR(AVERAGEIF(PurchaseData!D:D, C156, PurchaseData!F:F) * E156, 0)</f>
        <v>400</v>
      </c>
    </row>
    <row r="157" spans="1:6" x14ac:dyDescent="0.35">
      <c r="A157" s="1" t="s">
        <v>82</v>
      </c>
      <c r="B157" s="1" t="s">
        <v>59</v>
      </c>
      <c r="C157" s="1" t="s">
        <v>42</v>
      </c>
      <c r="D157" s="1" t="s">
        <v>43</v>
      </c>
      <c r="E157" s="8">
        <v>0</v>
      </c>
      <c r="F157" s="1">
        <f>IFERROR(AVERAGEIF(PurchaseData!D:D, C157, PurchaseData!F:F) * E157, 0)</f>
        <v>0</v>
      </c>
    </row>
    <row r="158" spans="1:6" x14ac:dyDescent="0.35">
      <c r="A158" s="1" t="s">
        <v>82</v>
      </c>
      <c r="B158" s="1" t="s">
        <v>59</v>
      </c>
      <c r="C158" s="1" t="s">
        <v>44</v>
      </c>
      <c r="D158" s="1" t="s">
        <v>45</v>
      </c>
      <c r="E158" s="8">
        <v>1</v>
      </c>
      <c r="F158" s="1">
        <f>IFERROR(AVERAGEIF(PurchaseData!D:D, C158, PurchaseData!F:F) * E158, 0)</f>
        <v>165</v>
      </c>
    </row>
    <row r="159" spans="1:6" x14ac:dyDescent="0.35">
      <c r="A159" s="1" t="s">
        <v>82</v>
      </c>
      <c r="B159" s="1" t="s">
        <v>59</v>
      </c>
      <c r="C159" s="1" t="s">
        <v>46</v>
      </c>
      <c r="D159" s="1" t="s">
        <v>17</v>
      </c>
      <c r="E159" s="8">
        <v>14</v>
      </c>
      <c r="F159" s="1">
        <f>IFERROR(AVERAGEIF(PurchaseData!D:D, C159, PurchaseData!F:F) * E159, 0)</f>
        <v>0</v>
      </c>
    </row>
    <row r="160" spans="1:6" x14ac:dyDescent="0.35">
      <c r="A160" s="1" t="s">
        <v>82</v>
      </c>
      <c r="B160" s="1" t="s">
        <v>59</v>
      </c>
      <c r="C160" s="1" t="s">
        <v>47</v>
      </c>
      <c r="D160" s="1" t="s">
        <v>19</v>
      </c>
      <c r="E160" s="8">
        <v>5</v>
      </c>
      <c r="F160" s="1">
        <f>IFERROR(AVERAGEIF(PurchaseData!D:D, C160, PurchaseData!F:F) * E160, 0)</f>
        <v>50</v>
      </c>
    </row>
    <row r="161" spans="1:6" x14ac:dyDescent="0.35">
      <c r="A161" s="1" t="s">
        <v>82</v>
      </c>
      <c r="B161" s="1" t="s">
        <v>59</v>
      </c>
      <c r="C161" s="1" t="s">
        <v>48</v>
      </c>
      <c r="D161" s="1" t="s">
        <v>24</v>
      </c>
      <c r="E161" s="8">
        <v>3</v>
      </c>
      <c r="F161" s="1">
        <f>IFERROR(AVERAGEIF(PurchaseData!D:D, C161, PurchaseData!F:F) * E161, 0)</f>
        <v>75</v>
      </c>
    </row>
    <row r="162" spans="1:6" x14ac:dyDescent="0.35">
      <c r="A162" s="1" t="s">
        <v>82</v>
      </c>
      <c r="B162" s="1" t="s">
        <v>59</v>
      </c>
      <c r="C162" s="1" t="s">
        <v>49</v>
      </c>
      <c r="D162" s="1" t="s">
        <v>24</v>
      </c>
      <c r="E162" s="8">
        <v>0</v>
      </c>
      <c r="F162" s="1">
        <f>IFERROR(AVERAGEIF(PurchaseData!D:D, C162, PurchaseData!F:F) * E162, 0)</f>
        <v>0</v>
      </c>
    </row>
    <row r="163" spans="1:6" x14ac:dyDescent="0.35">
      <c r="A163" s="1" t="s">
        <v>82</v>
      </c>
      <c r="B163" s="1" t="s">
        <v>59</v>
      </c>
      <c r="C163" s="1" t="s">
        <v>50</v>
      </c>
      <c r="D163" s="1" t="s">
        <v>19</v>
      </c>
      <c r="E163" s="8">
        <v>0</v>
      </c>
      <c r="F163" s="1">
        <f>IFERROR(AVERAGEIF(PurchaseData!D:D, C163, PurchaseData!F:F) * E163, 0)</f>
        <v>0</v>
      </c>
    </row>
    <row r="164" spans="1:6" x14ac:dyDescent="0.35">
      <c r="A164" s="1" t="s">
        <v>82</v>
      </c>
      <c r="B164" s="1" t="s">
        <v>59</v>
      </c>
      <c r="C164" s="1" t="s">
        <v>51</v>
      </c>
      <c r="D164" s="1" t="s">
        <v>22</v>
      </c>
      <c r="E164" s="8">
        <v>0</v>
      </c>
      <c r="F164" s="1">
        <f>IFERROR(AVERAGEIF(PurchaseData!D:D, C164, PurchaseData!F:F) * E164, 0)</f>
        <v>0</v>
      </c>
    </row>
    <row r="165" spans="1:6" x14ac:dyDescent="0.35">
      <c r="A165" s="1" t="s">
        <v>82</v>
      </c>
      <c r="B165" s="1" t="s">
        <v>59</v>
      </c>
      <c r="C165" s="1" t="s">
        <v>52</v>
      </c>
      <c r="D165" s="1" t="s">
        <v>53</v>
      </c>
      <c r="E165" s="8">
        <v>0</v>
      </c>
      <c r="F165" s="1">
        <f>IFERROR(AVERAGEIF(PurchaseData!D:D, C165, PurchaseData!F:F) * E165, 0)</f>
        <v>0</v>
      </c>
    </row>
    <row r="166" spans="1:6" x14ac:dyDescent="0.35">
      <c r="A166" s="1" t="s">
        <v>82</v>
      </c>
      <c r="B166" s="1" t="s">
        <v>59</v>
      </c>
      <c r="C166" s="1" t="s">
        <v>54</v>
      </c>
      <c r="D166" s="1" t="s">
        <v>29</v>
      </c>
      <c r="E166" s="8">
        <v>0.2</v>
      </c>
      <c r="F166" s="1">
        <f>IFERROR(AVERAGEIF(PurchaseData!D:D, C166, PurchaseData!F:F) * E166, 0)</f>
        <v>170</v>
      </c>
    </row>
    <row r="167" spans="1:6" x14ac:dyDescent="0.35">
      <c r="A167" s="1" t="s">
        <v>16</v>
      </c>
      <c r="B167" s="1" t="s">
        <v>59</v>
      </c>
      <c r="C167" s="1" t="s">
        <v>107</v>
      </c>
      <c r="D167" s="1" t="s">
        <v>108</v>
      </c>
      <c r="E167" s="8">
        <v>180</v>
      </c>
      <c r="F167" s="1">
        <f>IFERROR(AVERAGEIF(PurchaseData!D:D, C167, PurchaseData!F:F) * E167, 0)</f>
        <v>1440</v>
      </c>
    </row>
    <row r="168" spans="1:6" x14ac:dyDescent="0.35">
      <c r="A168" s="1" t="s">
        <v>16</v>
      </c>
      <c r="B168" s="1" t="s">
        <v>59</v>
      </c>
      <c r="C168" s="1" t="s">
        <v>109</v>
      </c>
      <c r="D168" s="1" t="s">
        <v>22</v>
      </c>
      <c r="E168" s="8">
        <v>1.5</v>
      </c>
      <c r="F168" s="1">
        <f>IFERROR(AVERAGEIF(PurchaseData!D:D, C168, PurchaseData!F:F) * E168, 0)</f>
        <v>105</v>
      </c>
    </row>
    <row r="169" spans="1:6" x14ac:dyDescent="0.35">
      <c r="A169" s="1" t="s">
        <v>16</v>
      </c>
      <c r="B169" s="1" t="s">
        <v>59</v>
      </c>
      <c r="C169" s="1" t="s">
        <v>110</v>
      </c>
      <c r="D169" s="1" t="s">
        <v>24</v>
      </c>
      <c r="E169" s="8">
        <v>0.25</v>
      </c>
      <c r="F169" s="1">
        <f>IFERROR(AVERAGEIF(PurchaseData!D:D, C169, PurchaseData!F:F) * E169, 0)</f>
        <v>200</v>
      </c>
    </row>
    <row r="170" spans="1:6" x14ac:dyDescent="0.35">
      <c r="A170" s="1" t="s">
        <v>16</v>
      </c>
      <c r="B170" s="1" t="s">
        <v>59</v>
      </c>
      <c r="C170" s="1" t="s">
        <v>111</v>
      </c>
      <c r="D170" s="1" t="s">
        <v>22</v>
      </c>
      <c r="E170" s="8">
        <v>0.05</v>
      </c>
      <c r="F170" s="1">
        <f>IFERROR(AVERAGEIF(PurchaseData!D:D, C170, PurchaseData!F:F) * E170, 0)</f>
        <v>4.5</v>
      </c>
    </row>
    <row r="171" spans="1:6" x14ac:dyDescent="0.35">
      <c r="A171" s="1" t="s">
        <v>16</v>
      </c>
      <c r="B171" s="1" t="s">
        <v>59</v>
      </c>
      <c r="C171" s="1" t="s">
        <v>112</v>
      </c>
      <c r="D171" s="1" t="s">
        <v>24</v>
      </c>
      <c r="E171" s="8">
        <v>0.1</v>
      </c>
      <c r="F171" s="1">
        <f>IFERROR(AVERAGEIF(PurchaseData!D:D, C171, PurchaseData!F:F) * E171, 0)</f>
        <v>30</v>
      </c>
    </row>
    <row r="172" spans="1:6" x14ac:dyDescent="0.35">
      <c r="A172" s="1" t="s">
        <v>82</v>
      </c>
      <c r="B172" s="1" t="s">
        <v>60</v>
      </c>
      <c r="C172" s="1" t="s">
        <v>60</v>
      </c>
      <c r="D172" s="1" t="s">
        <v>17</v>
      </c>
      <c r="E172" s="8">
        <v>1</v>
      </c>
      <c r="F172" s="1">
        <f>IFERROR(AVERAGEIF(PurchaseData!D:D, C172, PurchaseData!F:F) * E172, 0)</f>
        <v>0</v>
      </c>
    </row>
    <row r="173" spans="1:6" x14ac:dyDescent="0.35">
      <c r="A173" s="1" t="s">
        <v>82</v>
      </c>
      <c r="B173" s="1" t="s">
        <v>60</v>
      </c>
      <c r="C173" s="1" t="s">
        <v>106</v>
      </c>
      <c r="D173" s="1" t="s">
        <v>19</v>
      </c>
      <c r="E173" s="8">
        <v>18</v>
      </c>
      <c r="F173" s="1">
        <f>IFERROR(AVERAGEIF(PurchaseData!D:D, C173, PurchaseData!F:F) * E173, 0)</f>
        <v>0</v>
      </c>
    </row>
    <row r="174" spans="1:6" x14ac:dyDescent="0.35">
      <c r="A174" s="1" t="s">
        <v>82</v>
      </c>
      <c r="B174" s="1" t="s">
        <v>60</v>
      </c>
      <c r="C174" s="1" t="s">
        <v>21</v>
      </c>
      <c r="D174" s="1" t="s">
        <v>22</v>
      </c>
      <c r="E174" s="8">
        <v>5.25</v>
      </c>
      <c r="F174" s="1">
        <f>IFERROR(AVERAGEIF(PurchaseData!D:D, C174, PurchaseData!F:F) * E174, 0)</f>
        <v>1050</v>
      </c>
    </row>
    <row r="175" spans="1:6" x14ac:dyDescent="0.35">
      <c r="A175" s="1" t="s">
        <v>82</v>
      </c>
      <c r="B175" s="1" t="s">
        <v>60</v>
      </c>
      <c r="C175" s="1" t="s">
        <v>23</v>
      </c>
      <c r="D175" s="1" t="s">
        <v>24</v>
      </c>
      <c r="E175" s="8">
        <v>6</v>
      </c>
      <c r="F175" s="1">
        <f>IFERROR(AVERAGEIF(PurchaseData!D:D, C175, PurchaseData!F:F) * E175, 0)</f>
        <v>600</v>
      </c>
    </row>
    <row r="176" spans="1:6" x14ac:dyDescent="0.35">
      <c r="A176" s="1" t="s">
        <v>82</v>
      </c>
      <c r="B176" s="1" t="s">
        <v>60</v>
      </c>
      <c r="C176" s="1" t="s">
        <v>25</v>
      </c>
      <c r="D176" s="1" t="s">
        <v>17</v>
      </c>
      <c r="E176" s="8">
        <v>1</v>
      </c>
      <c r="F176" s="1">
        <f>IFERROR(AVERAGEIF(PurchaseData!D:D, C176, PurchaseData!F:F) * E176, 0)</f>
        <v>150</v>
      </c>
    </row>
    <row r="177" spans="1:6" x14ac:dyDescent="0.35">
      <c r="A177" s="1" t="s">
        <v>82</v>
      </c>
      <c r="B177" s="1" t="s">
        <v>60</v>
      </c>
      <c r="C177" s="1" t="s">
        <v>26</v>
      </c>
      <c r="D177" s="1" t="s">
        <v>17</v>
      </c>
      <c r="E177" s="8">
        <v>0</v>
      </c>
      <c r="F177" s="1">
        <f>IFERROR(AVERAGEIF(PurchaseData!D:D, C177, PurchaseData!F:F) * E177, 0)</f>
        <v>0</v>
      </c>
    </row>
    <row r="178" spans="1:6" x14ac:dyDescent="0.35">
      <c r="A178" s="1" t="s">
        <v>82</v>
      </c>
      <c r="B178" s="1" t="s">
        <v>60</v>
      </c>
      <c r="C178" s="1" t="s">
        <v>27</v>
      </c>
      <c r="D178" s="1" t="s">
        <v>19</v>
      </c>
      <c r="E178" s="8">
        <v>2.5</v>
      </c>
      <c r="F178" s="1">
        <f>IFERROR(AVERAGEIF(PurchaseData!D:D, C178, PurchaseData!F:F) * E178, 0)</f>
        <v>150</v>
      </c>
    </row>
    <row r="179" spans="1:6" x14ac:dyDescent="0.35">
      <c r="A179" s="1" t="s">
        <v>82</v>
      </c>
      <c r="B179" s="1" t="s">
        <v>60</v>
      </c>
      <c r="C179" s="1" t="s">
        <v>28</v>
      </c>
      <c r="D179" s="1" t="s">
        <v>29</v>
      </c>
      <c r="E179" s="8">
        <v>0.2</v>
      </c>
      <c r="F179" s="1">
        <f>IFERROR(AVERAGEIF(PurchaseData!D:D, C179, PurchaseData!F:F) * E179, 0)</f>
        <v>20</v>
      </c>
    </row>
    <row r="180" spans="1:6" x14ac:dyDescent="0.35">
      <c r="A180" s="1" t="s">
        <v>82</v>
      </c>
      <c r="B180" s="1" t="s">
        <v>60</v>
      </c>
      <c r="C180" s="1" t="s">
        <v>30</v>
      </c>
      <c r="D180" s="1" t="s">
        <v>17</v>
      </c>
      <c r="E180" s="8">
        <v>25</v>
      </c>
      <c r="F180" s="1">
        <f>IFERROR(AVERAGEIF(PurchaseData!D:D, C180, PurchaseData!F:F) * E180, 0)</f>
        <v>125</v>
      </c>
    </row>
    <row r="181" spans="1:6" x14ac:dyDescent="0.35">
      <c r="A181" s="1" t="s">
        <v>82</v>
      </c>
      <c r="B181" s="1" t="s">
        <v>60</v>
      </c>
      <c r="C181" s="1" t="s">
        <v>31</v>
      </c>
      <c r="D181" s="1" t="s">
        <v>17</v>
      </c>
      <c r="E181" s="8">
        <v>25</v>
      </c>
      <c r="F181" s="1">
        <f>IFERROR(AVERAGEIF(PurchaseData!D:D, C181, PurchaseData!F:F) * E181, 0)</f>
        <v>125</v>
      </c>
    </row>
    <row r="182" spans="1:6" x14ac:dyDescent="0.35">
      <c r="A182" s="1" t="s">
        <v>82</v>
      </c>
      <c r="B182" s="1" t="s">
        <v>60</v>
      </c>
      <c r="C182" s="1" t="s">
        <v>32</v>
      </c>
      <c r="D182" s="1" t="s">
        <v>17</v>
      </c>
      <c r="E182" s="8">
        <v>12</v>
      </c>
      <c r="F182" s="1">
        <f>IFERROR(AVERAGEIF(PurchaseData!D:D, C182, PurchaseData!F:F) * E182, 0)</f>
        <v>120</v>
      </c>
    </row>
    <row r="183" spans="1:6" x14ac:dyDescent="0.35">
      <c r="A183" s="1" t="s">
        <v>82</v>
      </c>
      <c r="B183" s="1" t="s">
        <v>60</v>
      </c>
      <c r="C183" s="1" t="s">
        <v>33</v>
      </c>
      <c r="D183" s="1" t="s">
        <v>22</v>
      </c>
      <c r="E183" s="8">
        <v>0.15</v>
      </c>
      <c r="F183" s="1">
        <f>IFERROR(AVERAGEIF(PurchaseData!D:D, C183, PurchaseData!F:F) * E183, 0)</f>
        <v>30</v>
      </c>
    </row>
    <row r="184" spans="1:6" x14ac:dyDescent="0.35">
      <c r="A184" s="1" t="s">
        <v>82</v>
      </c>
      <c r="B184" s="1" t="s">
        <v>60</v>
      </c>
      <c r="C184" s="1" t="s">
        <v>34</v>
      </c>
      <c r="D184" s="1" t="s">
        <v>24</v>
      </c>
      <c r="E184" s="8">
        <v>2</v>
      </c>
      <c r="F184" s="1">
        <f>IFERROR(AVERAGEIF(PurchaseData!D:D, C184, PurchaseData!F:F) * E184, 0)</f>
        <v>400</v>
      </c>
    </row>
    <row r="185" spans="1:6" x14ac:dyDescent="0.35">
      <c r="A185" s="1" t="s">
        <v>82</v>
      </c>
      <c r="B185" s="1" t="s">
        <v>60</v>
      </c>
      <c r="C185" s="1" t="s">
        <v>35</v>
      </c>
      <c r="D185" s="1" t="s">
        <v>36</v>
      </c>
      <c r="E185" s="8">
        <v>0</v>
      </c>
      <c r="F185" s="1">
        <f>IFERROR(AVERAGEIF(PurchaseData!D:D, C185, PurchaseData!F:F) * E185, 0)</f>
        <v>0</v>
      </c>
    </row>
    <row r="186" spans="1:6" x14ac:dyDescent="0.35">
      <c r="A186" s="1" t="s">
        <v>82</v>
      </c>
      <c r="B186" s="1" t="s">
        <v>60</v>
      </c>
      <c r="C186" s="1" t="s">
        <v>37</v>
      </c>
      <c r="D186" s="1" t="s">
        <v>22</v>
      </c>
      <c r="E186" s="8">
        <v>1</v>
      </c>
      <c r="F186" s="1">
        <f>IFERROR(AVERAGEIF(PurchaseData!D:D, C186, PurchaseData!F:F) * E186, 0)</f>
        <v>30</v>
      </c>
    </row>
    <row r="187" spans="1:6" x14ac:dyDescent="0.35">
      <c r="A187" s="1" t="s">
        <v>82</v>
      </c>
      <c r="B187" s="1" t="s">
        <v>60</v>
      </c>
      <c r="C187" s="1" t="s">
        <v>38</v>
      </c>
      <c r="D187" s="1" t="s">
        <v>29</v>
      </c>
      <c r="E187" s="8">
        <v>1.6</v>
      </c>
      <c r="F187" s="1">
        <f>IFERROR(AVERAGEIF(PurchaseData!D:D, C187, PurchaseData!F:F) * E187, 0)</f>
        <v>192</v>
      </c>
    </row>
    <row r="188" spans="1:6" x14ac:dyDescent="0.35">
      <c r="A188" s="1" t="s">
        <v>82</v>
      </c>
      <c r="B188" s="1" t="s">
        <v>60</v>
      </c>
      <c r="C188" s="1" t="s">
        <v>39</v>
      </c>
      <c r="D188" s="1" t="s">
        <v>29</v>
      </c>
      <c r="E188" s="8">
        <v>0</v>
      </c>
      <c r="F188" s="1">
        <f>IFERROR(AVERAGEIF(PurchaseData!D:D, C188, PurchaseData!F:F) * E188, 0)</f>
        <v>0</v>
      </c>
    </row>
    <row r="189" spans="1:6" x14ac:dyDescent="0.35">
      <c r="A189" s="1" t="s">
        <v>82</v>
      </c>
      <c r="B189" s="1" t="s">
        <v>60</v>
      </c>
      <c r="C189" s="1" t="s">
        <v>40</v>
      </c>
      <c r="D189" s="1" t="s">
        <v>22</v>
      </c>
      <c r="E189" s="8">
        <v>1.5</v>
      </c>
      <c r="F189" s="1">
        <f>IFERROR(AVERAGEIF(PurchaseData!D:D, C189, PurchaseData!F:F) * E189, 0)</f>
        <v>187.5</v>
      </c>
    </row>
    <row r="190" spans="1:6" x14ac:dyDescent="0.35">
      <c r="A190" s="1" t="s">
        <v>82</v>
      </c>
      <c r="B190" s="1" t="s">
        <v>60</v>
      </c>
      <c r="C190" s="1" t="s">
        <v>41</v>
      </c>
      <c r="D190" s="1" t="s">
        <v>29</v>
      </c>
      <c r="E190" s="8">
        <v>0</v>
      </c>
      <c r="F190" s="1">
        <f>IFERROR(AVERAGEIF(PurchaseData!D:D, C190, PurchaseData!F:F) * E190, 0)</f>
        <v>0</v>
      </c>
    </row>
    <row r="191" spans="1:6" x14ac:dyDescent="0.35">
      <c r="A191" s="1" t="s">
        <v>82</v>
      </c>
      <c r="B191" s="1" t="s">
        <v>60</v>
      </c>
      <c r="C191" s="1" t="s">
        <v>42</v>
      </c>
      <c r="D191" s="1" t="s">
        <v>43</v>
      </c>
      <c r="E191" s="8">
        <v>0</v>
      </c>
      <c r="F191" s="1">
        <f>IFERROR(AVERAGEIF(PurchaseData!D:D, C191, PurchaseData!F:F) * E191, 0)</f>
        <v>0</v>
      </c>
    </row>
    <row r="192" spans="1:6" x14ac:dyDescent="0.35">
      <c r="A192" s="1" t="s">
        <v>82</v>
      </c>
      <c r="B192" s="1" t="s">
        <v>60</v>
      </c>
      <c r="C192" s="1" t="s">
        <v>44</v>
      </c>
      <c r="D192" s="1" t="s">
        <v>45</v>
      </c>
      <c r="E192" s="8">
        <v>1.5</v>
      </c>
      <c r="F192" s="1">
        <f>IFERROR(AVERAGEIF(PurchaseData!D:D, C192, PurchaseData!F:F) * E192, 0)</f>
        <v>247.5</v>
      </c>
    </row>
    <row r="193" spans="1:6" x14ac:dyDescent="0.35">
      <c r="A193" s="1" t="s">
        <v>82</v>
      </c>
      <c r="B193" s="1" t="s">
        <v>60</v>
      </c>
      <c r="C193" s="1" t="s">
        <v>46</v>
      </c>
      <c r="D193" s="1" t="s">
        <v>17</v>
      </c>
      <c r="E193" s="8">
        <v>14</v>
      </c>
      <c r="F193" s="1">
        <f>IFERROR(AVERAGEIF(PurchaseData!D:D, C193, PurchaseData!F:F) * E193, 0)</f>
        <v>0</v>
      </c>
    </row>
    <row r="194" spans="1:6" x14ac:dyDescent="0.35">
      <c r="A194" s="1" t="s">
        <v>82</v>
      </c>
      <c r="B194" s="1" t="s">
        <v>60</v>
      </c>
      <c r="C194" s="1" t="s">
        <v>47</v>
      </c>
      <c r="D194" s="1" t="s">
        <v>19</v>
      </c>
      <c r="E194" s="8">
        <v>5</v>
      </c>
      <c r="F194" s="1">
        <f>IFERROR(AVERAGEIF(PurchaseData!D:D, C194, PurchaseData!F:F) * E194, 0)</f>
        <v>50</v>
      </c>
    </row>
    <row r="195" spans="1:6" x14ac:dyDescent="0.35">
      <c r="A195" s="1" t="s">
        <v>82</v>
      </c>
      <c r="B195" s="1" t="s">
        <v>60</v>
      </c>
      <c r="C195" s="1" t="s">
        <v>48</v>
      </c>
      <c r="D195" s="1" t="s">
        <v>24</v>
      </c>
      <c r="E195" s="8">
        <v>0</v>
      </c>
      <c r="F195" s="1">
        <f>IFERROR(AVERAGEIF(PurchaseData!D:D, C195, PurchaseData!F:F) * E195, 0)</f>
        <v>0</v>
      </c>
    </row>
    <row r="196" spans="1:6" x14ac:dyDescent="0.35">
      <c r="A196" s="1" t="s">
        <v>82</v>
      </c>
      <c r="B196" s="1" t="s">
        <v>60</v>
      </c>
      <c r="C196" s="1" t="s">
        <v>49</v>
      </c>
      <c r="D196" s="1" t="s">
        <v>24</v>
      </c>
      <c r="E196" s="8">
        <v>0</v>
      </c>
      <c r="F196" s="1">
        <f>IFERROR(AVERAGEIF(PurchaseData!D:D, C196, PurchaseData!F:F) * E196, 0)</f>
        <v>0</v>
      </c>
    </row>
    <row r="197" spans="1:6" x14ac:dyDescent="0.35">
      <c r="A197" s="1" t="s">
        <v>82</v>
      </c>
      <c r="B197" s="1" t="s">
        <v>60</v>
      </c>
      <c r="C197" s="1" t="s">
        <v>50</v>
      </c>
      <c r="D197" s="1" t="s">
        <v>19</v>
      </c>
      <c r="E197" s="8">
        <v>0</v>
      </c>
      <c r="F197" s="1">
        <f>IFERROR(AVERAGEIF(PurchaseData!D:D, C197, PurchaseData!F:F) * E197, 0)</f>
        <v>0</v>
      </c>
    </row>
    <row r="198" spans="1:6" x14ac:dyDescent="0.35">
      <c r="A198" s="1" t="s">
        <v>82</v>
      </c>
      <c r="B198" s="1" t="s">
        <v>60</v>
      </c>
      <c r="C198" s="1" t="s">
        <v>51</v>
      </c>
      <c r="D198" s="1" t="s">
        <v>22</v>
      </c>
      <c r="E198" s="8">
        <v>1</v>
      </c>
      <c r="F198" s="1">
        <f>IFERROR(AVERAGEIF(PurchaseData!D:D, C198, PurchaseData!F:F) * E198, 0)</f>
        <v>200</v>
      </c>
    </row>
    <row r="199" spans="1:6" x14ac:dyDescent="0.35">
      <c r="A199" s="1" t="s">
        <v>82</v>
      </c>
      <c r="B199" s="1" t="s">
        <v>60</v>
      </c>
      <c r="C199" s="1" t="s">
        <v>52</v>
      </c>
      <c r="D199" s="1" t="s">
        <v>53</v>
      </c>
      <c r="E199" s="8">
        <v>0.5</v>
      </c>
      <c r="F199" s="1">
        <f>IFERROR(AVERAGEIF(PurchaseData!D:D, C199, PurchaseData!F:F) * E199, 0)</f>
        <v>1600</v>
      </c>
    </row>
    <row r="200" spans="1:6" x14ac:dyDescent="0.35">
      <c r="A200" s="1" t="s">
        <v>82</v>
      </c>
      <c r="B200" s="1" t="s">
        <v>60</v>
      </c>
      <c r="C200" s="1" t="s">
        <v>54</v>
      </c>
      <c r="D200" s="1" t="s">
        <v>29</v>
      </c>
      <c r="E200" s="8">
        <v>0.2</v>
      </c>
      <c r="F200" s="1">
        <f>IFERROR(AVERAGEIF(PurchaseData!D:D, C200, PurchaseData!F:F) * E200, 0)</f>
        <v>170</v>
      </c>
    </row>
    <row r="201" spans="1:6" x14ac:dyDescent="0.35">
      <c r="A201" s="1" t="s">
        <v>16</v>
      </c>
      <c r="B201" s="1" t="s">
        <v>60</v>
      </c>
      <c r="C201" s="1" t="s">
        <v>107</v>
      </c>
      <c r="D201" s="1" t="s">
        <v>108</v>
      </c>
      <c r="E201" s="8">
        <v>180</v>
      </c>
      <c r="F201" s="1">
        <f>IFERROR(AVERAGEIF(PurchaseData!D:D, C201, PurchaseData!F:F) * E201, 0)</f>
        <v>1440</v>
      </c>
    </row>
    <row r="202" spans="1:6" x14ac:dyDescent="0.35">
      <c r="A202" s="1" t="s">
        <v>16</v>
      </c>
      <c r="B202" s="1" t="s">
        <v>60</v>
      </c>
      <c r="C202" s="1" t="s">
        <v>109</v>
      </c>
      <c r="D202" s="1" t="s">
        <v>22</v>
      </c>
      <c r="E202" s="8">
        <v>1.5</v>
      </c>
      <c r="F202" s="1">
        <f>IFERROR(AVERAGEIF(PurchaseData!D:D, C202, PurchaseData!F:F) * E202, 0)</f>
        <v>105</v>
      </c>
    </row>
    <row r="203" spans="1:6" x14ac:dyDescent="0.35">
      <c r="A203" s="1" t="s">
        <v>16</v>
      </c>
      <c r="B203" s="1" t="s">
        <v>60</v>
      </c>
      <c r="C203" s="1" t="s">
        <v>110</v>
      </c>
      <c r="D203" s="1" t="s">
        <v>24</v>
      </c>
      <c r="E203" s="8">
        <v>3</v>
      </c>
      <c r="F203" s="1">
        <f>IFERROR(AVERAGEIF(PurchaseData!D:D, C203, PurchaseData!F:F) * E203, 0)</f>
        <v>2400</v>
      </c>
    </row>
    <row r="204" spans="1:6" x14ac:dyDescent="0.35">
      <c r="A204" s="1" t="s">
        <v>16</v>
      </c>
      <c r="B204" s="1" t="s">
        <v>60</v>
      </c>
      <c r="C204" s="1" t="s">
        <v>111</v>
      </c>
      <c r="D204" s="1" t="s">
        <v>22</v>
      </c>
      <c r="E204" s="8">
        <v>0.05</v>
      </c>
      <c r="F204" s="1">
        <f>IFERROR(AVERAGEIF(PurchaseData!D:D, C204, PurchaseData!F:F) * E204, 0)</f>
        <v>4.5</v>
      </c>
    </row>
    <row r="205" spans="1:6" x14ac:dyDescent="0.35">
      <c r="A205" s="1" t="s">
        <v>16</v>
      </c>
      <c r="B205" s="1" t="s">
        <v>60</v>
      </c>
      <c r="C205" s="1" t="s">
        <v>112</v>
      </c>
      <c r="D205" s="1" t="s">
        <v>24</v>
      </c>
      <c r="E205" s="8">
        <v>0.1</v>
      </c>
      <c r="F205" s="1">
        <f>IFERROR(AVERAGEIF(PurchaseData!D:D, C205, PurchaseData!F:F) * E205, 0)</f>
        <v>30</v>
      </c>
    </row>
    <row r="206" spans="1:6" x14ac:dyDescent="0.35">
      <c r="A206" s="1" t="s">
        <v>82</v>
      </c>
      <c r="B206" s="1" t="s">
        <v>6</v>
      </c>
      <c r="C206" s="1" t="s">
        <v>6</v>
      </c>
      <c r="D206" s="1" t="s">
        <v>17</v>
      </c>
      <c r="E206" s="8">
        <v>1</v>
      </c>
      <c r="F206" s="1">
        <f>IFERROR(AVERAGEIF(PurchaseData!D:D, C206, PurchaseData!F:F) * E206, 0)</f>
        <v>0</v>
      </c>
    </row>
    <row r="207" spans="1:6" x14ac:dyDescent="0.35">
      <c r="A207" s="1" t="s">
        <v>82</v>
      </c>
      <c r="B207" s="1" t="s">
        <v>6</v>
      </c>
      <c r="C207" s="1" t="s">
        <v>106</v>
      </c>
      <c r="D207" s="1" t="s">
        <v>19</v>
      </c>
      <c r="E207" s="8">
        <v>14</v>
      </c>
      <c r="F207" s="1">
        <f>IFERROR(AVERAGEIF(PurchaseData!D:D, C207, PurchaseData!F:F) * E207, 0)</f>
        <v>0</v>
      </c>
    </row>
    <row r="208" spans="1:6" x14ac:dyDescent="0.35">
      <c r="A208" s="1" t="s">
        <v>82</v>
      </c>
      <c r="B208" s="1" t="s">
        <v>6</v>
      </c>
      <c r="C208" s="1" t="s">
        <v>21</v>
      </c>
      <c r="D208" s="1" t="s">
        <v>22</v>
      </c>
      <c r="E208" s="8">
        <v>3</v>
      </c>
      <c r="F208" s="1">
        <f>IFERROR(AVERAGEIF(PurchaseData!D:D, C208, PurchaseData!F:F) * E208, 0)</f>
        <v>600</v>
      </c>
    </row>
    <row r="209" spans="1:6" x14ac:dyDescent="0.35">
      <c r="A209" s="1" t="s">
        <v>82</v>
      </c>
      <c r="B209" s="1" t="s">
        <v>6</v>
      </c>
      <c r="C209" s="1" t="s">
        <v>23</v>
      </c>
      <c r="D209" s="1" t="s">
        <v>24</v>
      </c>
      <c r="E209" s="8">
        <v>3</v>
      </c>
      <c r="F209" s="1">
        <f>IFERROR(AVERAGEIF(PurchaseData!D:D, C209, PurchaseData!F:F) * E209, 0)</f>
        <v>300</v>
      </c>
    </row>
    <row r="210" spans="1:6" x14ac:dyDescent="0.35">
      <c r="A210" s="1" t="s">
        <v>82</v>
      </c>
      <c r="B210" s="1" t="s">
        <v>6</v>
      </c>
      <c r="C210" s="1" t="s">
        <v>25</v>
      </c>
      <c r="D210" s="1" t="s">
        <v>17</v>
      </c>
      <c r="E210" s="8">
        <v>1</v>
      </c>
      <c r="F210" s="1">
        <f>IFERROR(AVERAGEIF(PurchaseData!D:D, C210, PurchaseData!F:F) * E210, 0)</f>
        <v>150</v>
      </c>
    </row>
    <row r="211" spans="1:6" x14ac:dyDescent="0.35">
      <c r="A211" s="1" t="s">
        <v>82</v>
      </c>
      <c r="B211" s="1" t="s">
        <v>6</v>
      </c>
      <c r="C211" s="1" t="s">
        <v>26</v>
      </c>
      <c r="D211" s="1" t="s">
        <v>17</v>
      </c>
      <c r="E211" s="8">
        <v>0.5</v>
      </c>
      <c r="F211" s="1">
        <f>IFERROR(AVERAGEIF(PurchaseData!D:D, C211, PurchaseData!F:F) * E211, 0)</f>
        <v>60</v>
      </c>
    </row>
    <row r="212" spans="1:6" x14ac:dyDescent="0.35">
      <c r="A212" s="1" t="s">
        <v>82</v>
      </c>
      <c r="B212" s="1" t="s">
        <v>6</v>
      </c>
      <c r="C212" s="1" t="s">
        <v>27</v>
      </c>
      <c r="D212" s="1" t="s">
        <v>19</v>
      </c>
      <c r="E212" s="8">
        <v>1</v>
      </c>
      <c r="F212" s="1">
        <f>IFERROR(AVERAGEIF(PurchaseData!D:D, C212, PurchaseData!F:F) * E212, 0)</f>
        <v>60</v>
      </c>
    </row>
    <row r="213" spans="1:6" x14ac:dyDescent="0.35">
      <c r="A213" s="1" t="s">
        <v>82</v>
      </c>
      <c r="B213" s="1" t="s">
        <v>6</v>
      </c>
      <c r="C213" s="1" t="s">
        <v>28</v>
      </c>
      <c r="D213" s="1" t="s">
        <v>29</v>
      </c>
      <c r="E213" s="8">
        <v>0.2</v>
      </c>
      <c r="F213" s="1">
        <f>IFERROR(AVERAGEIF(PurchaseData!D:D, C213, PurchaseData!F:F) * E213, 0)</f>
        <v>20</v>
      </c>
    </row>
    <row r="214" spans="1:6" x14ac:dyDescent="0.35">
      <c r="A214" s="1" t="s">
        <v>82</v>
      </c>
      <c r="B214" s="1" t="s">
        <v>6</v>
      </c>
      <c r="C214" s="1" t="s">
        <v>30</v>
      </c>
      <c r="D214" s="1" t="s">
        <v>17</v>
      </c>
      <c r="E214" s="8">
        <v>25</v>
      </c>
      <c r="F214" s="1">
        <f>IFERROR(AVERAGEIF(PurchaseData!D:D, C214, PurchaseData!F:F) * E214, 0)</f>
        <v>125</v>
      </c>
    </row>
    <row r="215" spans="1:6" x14ac:dyDescent="0.35">
      <c r="A215" s="1" t="s">
        <v>82</v>
      </c>
      <c r="B215" s="1" t="s">
        <v>6</v>
      </c>
      <c r="C215" s="1" t="s">
        <v>31</v>
      </c>
      <c r="D215" s="1" t="s">
        <v>17</v>
      </c>
      <c r="E215" s="8">
        <v>15</v>
      </c>
      <c r="F215" s="1">
        <f>IFERROR(AVERAGEIF(PurchaseData!D:D, C215, PurchaseData!F:F) * E215, 0)</f>
        <v>75</v>
      </c>
    </row>
    <row r="216" spans="1:6" x14ac:dyDescent="0.35">
      <c r="A216" s="1" t="s">
        <v>82</v>
      </c>
      <c r="B216" s="1" t="s">
        <v>6</v>
      </c>
      <c r="C216" s="1" t="s">
        <v>32</v>
      </c>
      <c r="D216" s="1" t="s">
        <v>17</v>
      </c>
      <c r="E216" s="8">
        <v>15</v>
      </c>
      <c r="F216" s="1">
        <f>IFERROR(AVERAGEIF(PurchaseData!D:D, C216, PurchaseData!F:F) * E216, 0)</f>
        <v>150</v>
      </c>
    </row>
    <row r="217" spans="1:6" x14ac:dyDescent="0.35">
      <c r="A217" s="1" t="s">
        <v>82</v>
      </c>
      <c r="B217" s="1" t="s">
        <v>6</v>
      </c>
      <c r="C217" s="1" t="s">
        <v>33</v>
      </c>
      <c r="D217" s="1" t="s">
        <v>22</v>
      </c>
      <c r="E217" s="8">
        <v>0.2</v>
      </c>
      <c r="F217" s="1">
        <f>IFERROR(AVERAGEIF(PurchaseData!D:D, C217, PurchaseData!F:F) * E217, 0)</f>
        <v>40</v>
      </c>
    </row>
    <row r="218" spans="1:6" x14ac:dyDescent="0.35">
      <c r="A218" s="1" t="s">
        <v>82</v>
      </c>
      <c r="B218" s="1" t="s">
        <v>6</v>
      </c>
      <c r="C218" s="1" t="s">
        <v>34</v>
      </c>
      <c r="D218" s="1" t="s">
        <v>24</v>
      </c>
      <c r="E218" s="8">
        <v>0</v>
      </c>
      <c r="F218" s="1">
        <f>IFERROR(AVERAGEIF(PurchaseData!D:D, C218, PurchaseData!F:F) * E218, 0)</f>
        <v>0</v>
      </c>
    </row>
    <row r="219" spans="1:6" x14ac:dyDescent="0.35">
      <c r="A219" s="1" t="s">
        <v>82</v>
      </c>
      <c r="B219" s="1" t="s">
        <v>6</v>
      </c>
      <c r="C219" s="1" t="s">
        <v>35</v>
      </c>
      <c r="D219" s="1" t="s">
        <v>36</v>
      </c>
      <c r="E219" s="8">
        <v>5</v>
      </c>
      <c r="F219" s="1">
        <f>IFERROR(AVERAGEIF(PurchaseData!D:D, C219, PurchaseData!F:F) * E219, 0)</f>
        <v>100</v>
      </c>
    </row>
    <row r="220" spans="1:6" x14ac:dyDescent="0.35">
      <c r="A220" s="1" t="s">
        <v>82</v>
      </c>
      <c r="B220" s="1" t="s">
        <v>6</v>
      </c>
      <c r="C220" s="1" t="s">
        <v>37</v>
      </c>
      <c r="D220" s="1" t="s">
        <v>22</v>
      </c>
      <c r="E220" s="8">
        <v>1</v>
      </c>
      <c r="F220" s="1">
        <f>IFERROR(AVERAGEIF(PurchaseData!D:D, C220, PurchaseData!F:F) * E220, 0)</f>
        <v>30</v>
      </c>
    </row>
    <row r="221" spans="1:6" x14ac:dyDescent="0.35">
      <c r="A221" s="1" t="s">
        <v>82</v>
      </c>
      <c r="B221" s="1" t="s">
        <v>6</v>
      </c>
      <c r="C221" s="1" t="s">
        <v>38</v>
      </c>
      <c r="D221" s="1" t="s">
        <v>29</v>
      </c>
      <c r="E221" s="8">
        <v>1.6</v>
      </c>
      <c r="F221" s="1">
        <f>IFERROR(AVERAGEIF(PurchaseData!D:D, C221, PurchaseData!F:F) * E221, 0)</f>
        <v>192</v>
      </c>
    </row>
    <row r="222" spans="1:6" x14ac:dyDescent="0.35">
      <c r="A222" s="1" t="s">
        <v>82</v>
      </c>
      <c r="B222" s="1" t="s">
        <v>6</v>
      </c>
      <c r="C222" s="1" t="s">
        <v>39</v>
      </c>
      <c r="D222" s="1" t="s">
        <v>29</v>
      </c>
      <c r="E222" s="8">
        <v>0</v>
      </c>
      <c r="F222" s="1">
        <f>IFERROR(AVERAGEIF(PurchaseData!D:D, C222, PurchaseData!F:F) * E222, 0)</f>
        <v>0</v>
      </c>
    </row>
    <row r="223" spans="1:6" x14ac:dyDescent="0.35">
      <c r="A223" s="1" t="s">
        <v>82</v>
      </c>
      <c r="B223" s="1" t="s">
        <v>6</v>
      </c>
      <c r="C223" s="1" t="s">
        <v>40</v>
      </c>
      <c r="D223" s="1" t="s">
        <v>22</v>
      </c>
      <c r="E223" s="8">
        <v>1.5</v>
      </c>
      <c r="F223" s="1">
        <f>IFERROR(AVERAGEIF(PurchaseData!D:D, C223, PurchaseData!F:F) * E223, 0)</f>
        <v>187.5</v>
      </c>
    </row>
    <row r="224" spans="1:6" x14ac:dyDescent="0.35">
      <c r="A224" s="1" t="s">
        <v>82</v>
      </c>
      <c r="B224" s="1" t="s">
        <v>6</v>
      </c>
      <c r="C224" s="1" t="s">
        <v>41</v>
      </c>
      <c r="D224" s="1" t="s">
        <v>29</v>
      </c>
      <c r="E224" s="8">
        <v>10</v>
      </c>
      <c r="F224" s="1">
        <f>IFERROR(AVERAGEIF(PurchaseData!D:D, C224, PurchaseData!F:F) * E224, 0)</f>
        <v>400</v>
      </c>
    </row>
    <row r="225" spans="1:6" x14ac:dyDescent="0.35">
      <c r="A225" s="1" t="s">
        <v>82</v>
      </c>
      <c r="B225" s="1" t="s">
        <v>6</v>
      </c>
      <c r="C225" s="1" t="s">
        <v>42</v>
      </c>
      <c r="D225" s="1" t="s">
        <v>43</v>
      </c>
      <c r="E225" s="8">
        <v>0</v>
      </c>
      <c r="F225" s="1">
        <f>IFERROR(AVERAGEIF(PurchaseData!D:D, C225, PurchaseData!F:F) * E225, 0)</f>
        <v>0</v>
      </c>
    </row>
    <row r="226" spans="1:6" x14ac:dyDescent="0.35">
      <c r="A226" s="1" t="s">
        <v>82</v>
      </c>
      <c r="B226" s="1" t="s">
        <v>6</v>
      </c>
      <c r="C226" s="1" t="s">
        <v>44</v>
      </c>
      <c r="D226" s="1" t="s">
        <v>45</v>
      </c>
      <c r="E226" s="8">
        <v>1</v>
      </c>
      <c r="F226" s="1">
        <f>IFERROR(AVERAGEIF(PurchaseData!D:D, C226, PurchaseData!F:F) * E226, 0)</f>
        <v>165</v>
      </c>
    </row>
    <row r="227" spans="1:6" x14ac:dyDescent="0.35">
      <c r="A227" s="1" t="s">
        <v>82</v>
      </c>
      <c r="B227" s="1" t="s">
        <v>6</v>
      </c>
      <c r="C227" s="1" t="s">
        <v>46</v>
      </c>
      <c r="D227" s="1" t="s">
        <v>17</v>
      </c>
      <c r="E227" s="8">
        <v>14</v>
      </c>
      <c r="F227" s="1">
        <f>IFERROR(AVERAGEIF(PurchaseData!D:D, C227, PurchaseData!F:F) * E227, 0)</f>
        <v>0</v>
      </c>
    </row>
    <row r="228" spans="1:6" x14ac:dyDescent="0.35">
      <c r="A228" s="1" t="s">
        <v>82</v>
      </c>
      <c r="B228" s="1" t="s">
        <v>6</v>
      </c>
      <c r="C228" s="1" t="s">
        <v>47</v>
      </c>
      <c r="D228" s="1" t="s">
        <v>19</v>
      </c>
      <c r="E228" s="8">
        <v>5</v>
      </c>
      <c r="F228" s="1">
        <f>IFERROR(AVERAGEIF(PurchaseData!D:D, C228, PurchaseData!F:F) * E228, 0)</f>
        <v>50</v>
      </c>
    </row>
    <row r="229" spans="1:6" x14ac:dyDescent="0.35">
      <c r="A229" s="1" t="s">
        <v>82</v>
      </c>
      <c r="B229" s="1" t="s">
        <v>6</v>
      </c>
      <c r="C229" s="1" t="s">
        <v>48</v>
      </c>
      <c r="D229" s="1" t="s">
        <v>24</v>
      </c>
      <c r="E229" s="8">
        <v>4</v>
      </c>
      <c r="F229" s="1">
        <f>IFERROR(AVERAGEIF(PurchaseData!D:D, C229, PurchaseData!F:F) * E229, 0)</f>
        <v>100</v>
      </c>
    </row>
    <row r="230" spans="1:6" x14ac:dyDescent="0.35">
      <c r="A230" s="1" t="s">
        <v>82</v>
      </c>
      <c r="B230" s="1" t="s">
        <v>6</v>
      </c>
      <c r="C230" s="1" t="s">
        <v>49</v>
      </c>
      <c r="D230" s="1" t="s">
        <v>24</v>
      </c>
      <c r="E230" s="8">
        <v>0</v>
      </c>
      <c r="F230" s="1">
        <f>IFERROR(AVERAGEIF(PurchaseData!D:D, C230, PurchaseData!F:F) * E230, 0)</f>
        <v>0</v>
      </c>
    </row>
    <row r="231" spans="1:6" x14ac:dyDescent="0.35">
      <c r="A231" s="1" t="s">
        <v>82</v>
      </c>
      <c r="B231" s="1" t="s">
        <v>6</v>
      </c>
      <c r="C231" s="1" t="s">
        <v>50</v>
      </c>
      <c r="D231" s="1" t="s">
        <v>19</v>
      </c>
      <c r="E231" s="8">
        <v>0</v>
      </c>
      <c r="F231" s="1">
        <f>IFERROR(AVERAGEIF(PurchaseData!D:D, C231, PurchaseData!F:F) * E231, 0)</f>
        <v>0</v>
      </c>
    </row>
    <row r="232" spans="1:6" x14ac:dyDescent="0.35">
      <c r="A232" s="1" t="s">
        <v>82</v>
      </c>
      <c r="B232" s="1" t="s">
        <v>6</v>
      </c>
      <c r="C232" s="1" t="s">
        <v>51</v>
      </c>
      <c r="D232" s="1" t="s">
        <v>22</v>
      </c>
      <c r="E232" s="8">
        <v>0</v>
      </c>
      <c r="F232" s="1">
        <f>IFERROR(AVERAGEIF(PurchaseData!D:D, C232, PurchaseData!F:F) * E232, 0)</f>
        <v>0</v>
      </c>
    </row>
    <row r="233" spans="1:6" x14ac:dyDescent="0.35">
      <c r="A233" s="1" t="s">
        <v>82</v>
      </c>
      <c r="B233" s="1" t="s">
        <v>6</v>
      </c>
      <c r="C233" s="1" t="s">
        <v>52</v>
      </c>
      <c r="D233" s="1" t="s">
        <v>53</v>
      </c>
      <c r="E233" s="8">
        <v>0</v>
      </c>
      <c r="F233" s="1">
        <f>IFERROR(AVERAGEIF(PurchaseData!D:D, C233, PurchaseData!F:F) * E233, 0)</f>
        <v>0</v>
      </c>
    </row>
    <row r="234" spans="1:6" x14ac:dyDescent="0.35">
      <c r="A234" s="1" t="s">
        <v>82</v>
      </c>
      <c r="B234" s="1" t="s">
        <v>6</v>
      </c>
      <c r="C234" s="1" t="s">
        <v>54</v>
      </c>
      <c r="D234" s="1" t="s">
        <v>29</v>
      </c>
      <c r="E234" s="8">
        <v>0.2</v>
      </c>
      <c r="F234" s="1">
        <f>IFERROR(AVERAGEIF(PurchaseData!D:D, C234, PurchaseData!F:F) * E234, 0)</f>
        <v>170</v>
      </c>
    </row>
    <row r="235" spans="1:6" x14ac:dyDescent="0.35">
      <c r="A235" s="1" t="s">
        <v>16</v>
      </c>
      <c r="B235" s="1" t="s">
        <v>6</v>
      </c>
      <c r="C235" s="1" t="s">
        <v>107</v>
      </c>
      <c r="D235" s="1" t="s">
        <v>108</v>
      </c>
      <c r="E235" s="8">
        <v>250</v>
      </c>
      <c r="F235" s="1">
        <f>IFERROR(AVERAGEIF(PurchaseData!D:D, C235, PurchaseData!F:F) * E235, 0)</f>
        <v>2000</v>
      </c>
    </row>
    <row r="236" spans="1:6" x14ac:dyDescent="0.35">
      <c r="A236" s="1" t="s">
        <v>16</v>
      </c>
      <c r="B236" s="1" t="s">
        <v>6</v>
      </c>
      <c r="C236" s="1" t="s">
        <v>109</v>
      </c>
      <c r="D236" s="1" t="s">
        <v>22</v>
      </c>
      <c r="E236" s="8">
        <v>1.5</v>
      </c>
      <c r="F236" s="1">
        <f>IFERROR(AVERAGEIF(PurchaseData!D:D, C236, PurchaseData!F:F) * E236, 0)</f>
        <v>105</v>
      </c>
    </row>
    <row r="237" spans="1:6" x14ac:dyDescent="0.35">
      <c r="A237" s="1" t="s">
        <v>16</v>
      </c>
      <c r="B237" s="1" t="s">
        <v>6</v>
      </c>
      <c r="C237" s="1" t="s">
        <v>110</v>
      </c>
      <c r="D237" s="1" t="s">
        <v>24</v>
      </c>
      <c r="E237" s="8">
        <v>0.5</v>
      </c>
      <c r="F237" s="1">
        <f>IFERROR(AVERAGEIF(PurchaseData!D:D, C237, PurchaseData!F:F) * E237, 0)</f>
        <v>400</v>
      </c>
    </row>
    <row r="238" spans="1:6" x14ac:dyDescent="0.35">
      <c r="A238" s="1" t="s">
        <v>16</v>
      </c>
      <c r="B238" s="1" t="s">
        <v>6</v>
      </c>
      <c r="C238" s="1" t="s">
        <v>111</v>
      </c>
      <c r="D238" s="1" t="s">
        <v>22</v>
      </c>
      <c r="E238" s="8">
        <v>0.05</v>
      </c>
      <c r="F238" s="1">
        <f>IFERROR(AVERAGEIF(PurchaseData!D:D, C238, PurchaseData!F:F) * E238, 0)</f>
        <v>4.5</v>
      </c>
    </row>
    <row r="239" spans="1:6" x14ac:dyDescent="0.35">
      <c r="A239" s="1" t="s">
        <v>16</v>
      </c>
      <c r="B239" s="1" t="s">
        <v>6</v>
      </c>
      <c r="C239" s="1" t="s">
        <v>112</v>
      </c>
      <c r="D239" s="1" t="s">
        <v>24</v>
      </c>
      <c r="E239" s="8">
        <v>0.1</v>
      </c>
      <c r="F239" s="1">
        <f>IFERROR(AVERAGEIF(PurchaseData!D:D, C239, PurchaseData!F:F) * E239, 0)</f>
        <v>30</v>
      </c>
    </row>
    <row r="240" spans="1:6" x14ac:dyDescent="0.35">
      <c r="A240" s="1" t="s">
        <v>82</v>
      </c>
      <c r="B240" s="1" t="s">
        <v>10</v>
      </c>
      <c r="C240" s="1" t="s">
        <v>10</v>
      </c>
      <c r="D240" s="1" t="s">
        <v>17</v>
      </c>
      <c r="E240" s="8">
        <v>1</v>
      </c>
      <c r="F240" s="1">
        <f>IFERROR(AVERAGEIF(PurchaseData!D:D, C240, PurchaseData!F:F) * E240, 0)</f>
        <v>0</v>
      </c>
    </row>
    <row r="241" spans="1:6" x14ac:dyDescent="0.35">
      <c r="A241" s="1" t="s">
        <v>82</v>
      </c>
      <c r="B241" s="1" t="s">
        <v>10</v>
      </c>
      <c r="C241" s="1" t="s">
        <v>106</v>
      </c>
      <c r="D241" s="1" t="s">
        <v>19</v>
      </c>
      <c r="E241" s="8">
        <v>14</v>
      </c>
      <c r="F241" s="1">
        <f>IFERROR(AVERAGEIF(PurchaseData!D:D, C241, PurchaseData!F:F) * E241, 0)</f>
        <v>0</v>
      </c>
    </row>
    <row r="242" spans="1:6" x14ac:dyDescent="0.35">
      <c r="A242" s="1" t="s">
        <v>82</v>
      </c>
      <c r="B242" s="1" t="s">
        <v>10</v>
      </c>
      <c r="C242" s="1" t="s">
        <v>21</v>
      </c>
      <c r="D242" s="1" t="s">
        <v>22</v>
      </c>
      <c r="E242" s="8">
        <v>2</v>
      </c>
      <c r="F242" s="1">
        <f>IFERROR(AVERAGEIF(PurchaseData!D:D, C242, PurchaseData!F:F) * E242, 0)</f>
        <v>400</v>
      </c>
    </row>
    <row r="243" spans="1:6" x14ac:dyDescent="0.35">
      <c r="A243" s="1" t="s">
        <v>82</v>
      </c>
      <c r="B243" s="1" t="s">
        <v>10</v>
      </c>
      <c r="C243" s="1" t="s">
        <v>23</v>
      </c>
      <c r="D243" s="1" t="s">
        <v>24</v>
      </c>
      <c r="E243" s="8">
        <v>3</v>
      </c>
      <c r="F243" s="1">
        <f>IFERROR(AVERAGEIF(PurchaseData!D:D, C243, PurchaseData!F:F) * E243, 0)</f>
        <v>300</v>
      </c>
    </row>
    <row r="244" spans="1:6" x14ac:dyDescent="0.35">
      <c r="A244" s="1" t="s">
        <v>82</v>
      </c>
      <c r="B244" s="1" t="s">
        <v>10</v>
      </c>
      <c r="C244" s="1" t="s">
        <v>25</v>
      </c>
      <c r="D244" s="1" t="s">
        <v>17</v>
      </c>
      <c r="E244" s="8">
        <v>1</v>
      </c>
      <c r="F244" s="1">
        <f>IFERROR(AVERAGEIF(PurchaseData!D:D, C244, PurchaseData!F:F) * E244, 0)</f>
        <v>150</v>
      </c>
    </row>
    <row r="245" spans="1:6" x14ac:dyDescent="0.35">
      <c r="A245" s="1" t="s">
        <v>82</v>
      </c>
      <c r="B245" s="1" t="s">
        <v>10</v>
      </c>
      <c r="C245" s="1" t="s">
        <v>26</v>
      </c>
      <c r="D245" s="1" t="s">
        <v>17</v>
      </c>
      <c r="E245" s="8">
        <v>0.5</v>
      </c>
      <c r="F245" s="1">
        <f>IFERROR(AVERAGEIF(PurchaseData!D:D, C245, PurchaseData!F:F) * E245, 0)</f>
        <v>60</v>
      </c>
    </row>
    <row r="246" spans="1:6" x14ac:dyDescent="0.35">
      <c r="A246" s="1" t="s">
        <v>82</v>
      </c>
      <c r="B246" s="1" t="s">
        <v>10</v>
      </c>
      <c r="C246" s="1" t="s">
        <v>27</v>
      </c>
      <c r="D246" s="1" t="s">
        <v>19</v>
      </c>
      <c r="E246" s="8">
        <v>1</v>
      </c>
      <c r="F246" s="1">
        <f>IFERROR(AVERAGEIF(PurchaseData!D:D, C246, PurchaseData!F:F) * E246, 0)</f>
        <v>60</v>
      </c>
    </row>
    <row r="247" spans="1:6" x14ac:dyDescent="0.35">
      <c r="A247" s="1" t="s">
        <v>82</v>
      </c>
      <c r="B247" s="1" t="s">
        <v>10</v>
      </c>
      <c r="C247" s="1" t="s">
        <v>28</v>
      </c>
      <c r="D247" s="1" t="s">
        <v>29</v>
      </c>
      <c r="E247" s="8">
        <v>0.2</v>
      </c>
      <c r="F247" s="1">
        <f>IFERROR(AVERAGEIF(PurchaseData!D:D, C247, PurchaseData!F:F) * E247, 0)</f>
        <v>20</v>
      </c>
    </row>
    <row r="248" spans="1:6" x14ac:dyDescent="0.35">
      <c r="A248" s="1" t="s">
        <v>82</v>
      </c>
      <c r="B248" s="1" t="s">
        <v>10</v>
      </c>
      <c r="C248" s="1" t="s">
        <v>30</v>
      </c>
      <c r="D248" s="1" t="s">
        <v>17</v>
      </c>
      <c r="E248" s="8">
        <v>25</v>
      </c>
      <c r="F248" s="1">
        <f>IFERROR(AVERAGEIF(PurchaseData!D:D, C248, PurchaseData!F:F) * E248, 0)</f>
        <v>125</v>
      </c>
    </row>
    <row r="249" spans="1:6" x14ac:dyDescent="0.35">
      <c r="A249" s="1" t="s">
        <v>82</v>
      </c>
      <c r="B249" s="1" t="s">
        <v>10</v>
      </c>
      <c r="C249" s="1" t="s">
        <v>31</v>
      </c>
      <c r="D249" s="1" t="s">
        <v>17</v>
      </c>
      <c r="E249" s="8">
        <v>15</v>
      </c>
      <c r="F249" s="1">
        <f>IFERROR(AVERAGEIF(PurchaseData!D:D, C249, PurchaseData!F:F) * E249, 0)</f>
        <v>75</v>
      </c>
    </row>
    <row r="250" spans="1:6" x14ac:dyDescent="0.35">
      <c r="A250" s="1" t="s">
        <v>82</v>
      </c>
      <c r="B250" s="1" t="s">
        <v>10</v>
      </c>
      <c r="C250" s="1" t="s">
        <v>32</v>
      </c>
      <c r="D250" s="1" t="s">
        <v>17</v>
      </c>
      <c r="E250" s="8">
        <v>15</v>
      </c>
      <c r="F250" s="1">
        <f>IFERROR(AVERAGEIF(PurchaseData!D:D, C250, PurchaseData!F:F) * E250, 0)</f>
        <v>150</v>
      </c>
    </row>
    <row r="251" spans="1:6" x14ac:dyDescent="0.35">
      <c r="A251" s="1" t="s">
        <v>82</v>
      </c>
      <c r="B251" s="1" t="s">
        <v>10</v>
      </c>
      <c r="C251" s="1" t="s">
        <v>33</v>
      </c>
      <c r="D251" s="1" t="s">
        <v>22</v>
      </c>
      <c r="E251" s="8">
        <v>0.2</v>
      </c>
      <c r="F251" s="1">
        <f>IFERROR(AVERAGEIF(PurchaseData!D:D, C251, PurchaseData!F:F) * E251, 0)</f>
        <v>40</v>
      </c>
    </row>
    <row r="252" spans="1:6" x14ac:dyDescent="0.35">
      <c r="A252" s="1" t="s">
        <v>82</v>
      </c>
      <c r="B252" s="1" t="s">
        <v>10</v>
      </c>
      <c r="C252" s="1" t="s">
        <v>34</v>
      </c>
      <c r="D252" s="1" t="s">
        <v>24</v>
      </c>
      <c r="E252" s="8">
        <v>0</v>
      </c>
      <c r="F252" s="1">
        <f>IFERROR(AVERAGEIF(PurchaseData!D:D, C252, PurchaseData!F:F) * E252, 0)</f>
        <v>0</v>
      </c>
    </row>
    <row r="253" spans="1:6" x14ac:dyDescent="0.35">
      <c r="A253" s="1" t="s">
        <v>82</v>
      </c>
      <c r="B253" s="1" t="s">
        <v>10</v>
      </c>
      <c r="C253" s="1" t="s">
        <v>35</v>
      </c>
      <c r="D253" s="1" t="s">
        <v>36</v>
      </c>
      <c r="E253" s="8">
        <v>5</v>
      </c>
      <c r="F253" s="1">
        <f>IFERROR(AVERAGEIF(PurchaseData!D:D, C253, PurchaseData!F:F) * E253, 0)</f>
        <v>100</v>
      </c>
    </row>
    <row r="254" spans="1:6" x14ac:dyDescent="0.35">
      <c r="A254" s="1" t="s">
        <v>82</v>
      </c>
      <c r="B254" s="1" t="s">
        <v>10</v>
      </c>
      <c r="C254" s="1" t="s">
        <v>37</v>
      </c>
      <c r="D254" s="1" t="s">
        <v>22</v>
      </c>
      <c r="E254" s="8">
        <v>1</v>
      </c>
      <c r="F254" s="1">
        <f>IFERROR(AVERAGEIF(PurchaseData!D:D, C254, PurchaseData!F:F) * E254, 0)</f>
        <v>30</v>
      </c>
    </row>
    <row r="255" spans="1:6" x14ac:dyDescent="0.35">
      <c r="A255" s="1" t="s">
        <v>82</v>
      </c>
      <c r="B255" s="1" t="s">
        <v>10</v>
      </c>
      <c r="C255" s="1" t="s">
        <v>38</v>
      </c>
      <c r="D255" s="1" t="s">
        <v>29</v>
      </c>
      <c r="E255" s="8">
        <v>1.6</v>
      </c>
      <c r="F255" s="1">
        <f>IFERROR(AVERAGEIF(PurchaseData!D:D, C255, PurchaseData!F:F) * E255, 0)</f>
        <v>192</v>
      </c>
    </row>
    <row r="256" spans="1:6" x14ac:dyDescent="0.35">
      <c r="A256" s="1" t="s">
        <v>82</v>
      </c>
      <c r="B256" s="1" t="s">
        <v>10</v>
      </c>
      <c r="C256" s="1" t="s">
        <v>39</v>
      </c>
      <c r="D256" s="1" t="s">
        <v>29</v>
      </c>
      <c r="E256" s="8">
        <v>0</v>
      </c>
      <c r="F256" s="1">
        <f>IFERROR(AVERAGEIF(PurchaseData!D:D, C256, PurchaseData!F:F) * E256, 0)</f>
        <v>0</v>
      </c>
    </row>
    <row r="257" spans="1:6" x14ac:dyDescent="0.35">
      <c r="A257" s="1" t="s">
        <v>82</v>
      </c>
      <c r="B257" s="1" t="s">
        <v>10</v>
      </c>
      <c r="C257" s="1" t="s">
        <v>40</v>
      </c>
      <c r="D257" s="1" t="s">
        <v>22</v>
      </c>
      <c r="E257" s="8">
        <v>1.5</v>
      </c>
      <c r="F257" s="1">
        <f>IFERROR(AVERAGEIF(PurchaseData!D:D, C257, PurchaseData!F:F) * E257, 0)</f>
        <v>187.5</v>
      </c>
    </row>
    <row r="258" spans="1:6" x14ac:dyDescent="0.35">
      <c r="A258" s="1" t="s">
        <v>82</v>
      </c>
      <c r="B258" s="1" t="s">
        <v>10</v>
      </c>
      <c r="C258" s="1" t="s">
        <v>41</v>
      </c>
      <c r="D258" s="1" t="s">
        <v>29</v>
      </c>
      <c r="E258" s="8">
        <v>10</v>
      </c>
      <c r="F258" s="1">
        <f>IFERROR(AVERAGEIF(PurchaseData!D:D, C258, PurchaseData!F:F) * E258, 0)</f>
        <v>400</v>
      </c>
    </row>
    <row r="259" spans="1:6" x14ac:dyDescent="0.35">
      <c r="A259" s="1" t="s">
        <v>82</v>
      </c>
      <c r="B259" s="1" t="s">
        <v>10</v>
      </c>
      <c r="C259" s="1" t="s">
        <v>42</v>
      </c>
      <c r="D259" s="1" t="s">
        <v>43</v>
      </c>
      <c r="E259" s="8">
        <v>0</v>
      </c>
      <c r="F259" s="1">
        <f>IFERROR(AVERAGEIF(PurchaseData!D:D, C259, PurchaseData!F:F) * E259, 0)</f>
        <v>0</v>
      </c>
    </row>
    <row r="260" spans="1:6" x14ac:dyDescent="0.35">
      <c r="A260" s="1" t="s">
        <v>82</v>
      </c>
      <c r="B260" s="1" t="s">
        <v>10</v>
      </c>
      <c r="C260" s="1" t="s">
        <v>44</v>
      </c>
      <c r="D260" s="1" t="s">
        <v>45</v>
      </c>
      <c r="E260" s="8">
        <v>1</v>
      </c>
      <c r="F260" s="1">
        <f>IFERROR(AVERAGEIF(PurchaseData!D:D, C260, PurchaseData!F:F) * E260, 0)</f>
        <v>165</v>
      </c>
    </row>
    <row r="261" spans="1:6" x14ac:dyDescent="0.35">
      <c r="A261" s="1" t="s">
        <v>82</v>
      </c>
      <c r="B261" s="1" t="s">
        <v>10</v>
      </c>
      <c r="C261" s="1" t="s">
        <v>46</v>
      </c>
      <c r="D261" s="1" t="s">
        <v>17</v>
      </c>
      <c r="E261" s="8">
        <v>14</v>
      </c>
      <c r="F261" s="1">
        <f>IFERROR(AVERAGEIF(PurchaseData!D:D, C261, PurchaseData!F:F) * E261, 0)</f>
        <v>0</v>
      </c>
    </row>
    <row r="262" spans="1:6" x14ac:dyDescent="0.35">
      <c r="A262" s="1" t="s">
        <v>82</v>
      </c>
      <c r="B262" s="1" t="s">
        <v>10</v>
      </c>
      <c r="C262" s="1" t="s">
        <v>47</v>
      </c>
      <c r="D262" s="1" t="s">
        <v>19</v>
      </c>
      <c r="E262" s="8">
        <v>5</v>
      </c>
      <c r="F262" s="1">
        <f>IFERROR(AVERAGEIF(PurchaseData!D:D, C262, PurchaseData!F:F) * E262, 0)</f>
        <v>50</v>
      </c>
    </row>
    <row r="263" spans="1:6" x14ac:dyDescent="0.35">
      <c r="A263" s="1" t="s">
        <v>82</v>
      </c>
      <c r="B263" s="1" t="s">
        <v>10</v>
      </c>
      <c r="C263" s="1" t="s">
        <v>48</v>
      </c>
      <c r="D263" s="1" t="s">
        <v>24</v>
      </c>
      <c r="E263" s="8">
        <v>2</v>
      </c>
      <c r="F263" s="1">
        <f>IFERROR(AVERAGEIF(PurchaseData!D:D, C263, PurchaseData!F:F) * E263, 0)</f>
        <v>50</v>
      </c>
    </row>
    <row r="264" spans="1:6" x14ac:dyDescent="0.35">
      <c r="A264" s="1" t="s">
        <v>82</v>
      </c>
      <c r="B264" s="1" t="s">
        <v>10</v>
      </c>
      <c r="C264" s="1" t="s">
        <v>49</v>
      </c>
      <c r="D264" s="1" t="s">
        <v>24</v>
      </c>
      <c r="E264" s="8">
        <v>0</v>
      </c>
      <c r="F264" s="1">
        <f>IFERROR(AVERAGEIF(PurchaseData!D:D, C264, PurchaseData!F:F) * E264, 0)</f>
        <v>0</v>
      </c>
    </row>
    <row r="265" spans="1:6" x14ac:dyDescent="0.35">
      <c r="A265" s="1" t="s">
        <v>82</v>
      </c>
      <c r="B265" s="1" t="s">
        <v>10</v>
      </c>
      <c r="C265" s="1" t="s">
        <v>50</v>
      </c>
      <c r="D265" s="1" t="s">
        <v>19</v>
      </c>
      <c r="E265" s="8">
        <v>0</v>
      </c>
      <c r="F265" s="1">
        <f>IFERROR(AVERAGEIF(PurchaseData!D:D, C265, PurchaseData!F:F) * E265, 0)</f>
        <v>0</v>
      </c>
    </row>
    <row r="266" spans="1:6" x14ac:dyDescent="0.35">
      <c r="A266" s="1" t="s">
        <v>82</v>
      </c>
      <c r="B266" s="1" t="s">
        <v>10</v>
      </c>
      <c r="C266" s="1" t="s">
        <v>51</v>
      </c>
      <c r="D266" s="1" t="s">
        <v>22</v>
      </c>
      <c r="E266" s="8">
        <v>0</v>
      </c>
      <c r="F266" s="1">
        <f>IFERROR(AVERAGEIF(PurchaseData!D:D, C266, PurchaseData!F:F) * E266, 0)</f>
        <v>0</v>
      </c>
    </row>
    <row r="267" spans="1:6" x14ac:dyDescent="0.35">
      <c r="A267" s="1" t="s">
        <v>82</v>
      </c>
      <c r="B267" s="1" t="s">
        <v>10</v>
      </c>
      <c r="C267" s="1" t="s">
        <v>52</v>
      </c>
      <c r="D267" s="1" t="s">
        <v>53</v>
      </c>
      <c r="E267" s="8">
        <v>0</v>
      </c>
      <c r="F267" s="1">
        <f>IFERROR(AVERAGEIF(PurchaseData!D:D, C267, PurchaseData!F:F) * E267, 0)</f>
        <v>0</v>
      </c>
    </row>
    <row r="268" spans="1:6" x14ac:dyDescent="0.35">
      <c r="A268" s="1" t="s">
        <v>82</v>
      </c>
      <c r="B268" s="1" t="s">
        <v>10</v>
      </c>
      <c r="C268" s="1" t="s">
        <v>54</v>
      </c>
      <c r="D268" s="1" t="s">
        <v>29</v>
      </c>
      <c r="E268" s="8">
        <v>0.2</v>
      </c>
      <c r="F268" s="1">
        <f>IFERROR(AVERAGEIF(PurchaseData!D:D, C268, PurchaseData!F:F) * E268, 0)</f>
        <v>170</v>
      </c>
    </row>
    <row r="269" spans="1:6" x14ac:dyDescent="0.35">
      <c r="A269" s="1" t="s">
        <v>16</v>
      </c>
      <c r="B269" s="1" t="s">
        <v>10</v>
      </c>
      <c r="C269" s="1" t="s">
        <v>107</v>
      </c>
      <c r="D269" s="1" t="s">
        <v>108</v>
      </c>
      <c r="E269" s="8">
        <v>180</v>
      </c>
      <c r="F269" s="1">
        <f>IFERROR(AVERAGEIF(PurchaseData!D:D, C269, PurchaseData!F:F) * E269, 0)</f>
        <v>1440</v>
      </c>
    </row>
    <row r="270" spans="1:6" x14ac:dyDescent="0.35">
      <c r="A270" s="1" t="s">
        <v>16</v>
      </c>
      <c r="B270" s="1" t="s">
        <v>10</v>
      </c>
      <c r="C270" s="1" t="s">
        <v>109</v>
      </c>
      <c r="D270" s="1" t="s">
        <v>22</v>
      </c>
      <c r="E270" s="8">
        <v>1.5</v>
      </c>
      <c r="F270" s="1">
        <f>IFERROR(AVERAGEIF(PurchaseData!D:D, C270, PurchaseData!F:F) * E270, 0)</f>
        <v>105</v>
      </c>
    </row>
    <row r="271" spans="1:6" x14ac:dyDescent="0.35">
      <c r="A271" s="1" t="s">
        <v>16</v>
      </c>
      <c r="B271" s="1" t="s">
        <v>10</v>
      </c>
      <c r="C271" s="1" t="s">
        <v>110</v>
      </c>
      <c r="D271" s="1" t="s">
        <v>24</v>
      </c>
      <c r="E271" s="8">
        <v>0.5</v>
      </c>
      <c r="F271" s="1">
        <f>IFERROR(AVERAGEIF(PurchaseData!D:D, C271, PurchaseData!F:F) * E271, 0)</f>
        <v>400</v>
      </c>
    </row>
    <row r="272" spans="1:6" x14ac:dyDescent="0.35">
      <c r="A272" s="1" t="s">
        <v>16</v>
      </c>
      <c r="B272" s="1" t="s">
        <v>10</v>
      </c>
      <c r="C272" s="1" t="s">
        <v>111</v>
      </c>
      <c r="D272" s="1" t="s">
        <v>22</v>
      </c>
      <c r="E272" s="8">
        <v>0.05</v>
      </c>
      <c r="F272" s="1">
        <f>IFERROR(AVERAGEIF(PurchaseData!D:D, C272, PurchaseData!F:F) * E272, 0)</f>
        <v>4.5</v>
      </c>
    </row>
    <row r="273" spans="1:6" x14ac:dyDescent="0.35">
      <c r="A273" s="1" t="s">
        <v>16</v>
      </c>
      <c r="B273" s="1" t="s">
        <v>10</v>
      </c>
      <c r="C273" s="1" t="s">
        <v>112</v>
      </c>
      <c r="D273" s="1" t="s">
        <v>24</v>
      </c>
      <c r="E273" s="8">
        <v>0.1</v>
      </c>
      <c r="F273" s="1">
        <f>IFERROR(AVERAGEIF(PurchaseData!D:D, C273, PurchaseData!F:F) * E273, 0)</f>
        <v>30</v>
      </c>
    </row>
    <row r="274" spans="1:6" x14ac:dyDescent="0.35">
      <c r="A274" s="1" t="s">
        <v>82</v>
      </c>
      <c r="B274" s="1" t="s">
        <v>58</v>
      </c>
      <c r="C274" s="1" t="s">
        <v>58</v>
      </c>
      <c r="D274" s="1" t="s">
        <v>17</v>
      </c>
      <c r="E274" s="8">
        <v>1</v>
      </c>
      <c r="F274" s="1">
        <f>IFERROR(AVERAGEIF(PurchaseData!D:D, C274, PurchaseData!F:F) * E274, 0)</f>
        <v>0</v>
      </c>
    </row>
    <row r="275" spans="1:6" x14ac:dyDescent="0.35">
      <c r="A275" s="1" t="s">
        <v>82</v>
      </c>
      <c r="B275" s="1" t="s">
        <v>58</v>
      </c>
      <c r="C275" s="1" t="s">
        <v>106</v>
      </c>
      <c r="D275" s="1" t="s">
        <v>19</v>
      </c>
      <c r="E275" s="8">
        <v>17</v>
      </c>
      <c r="F275" s="1">
        <f>IFERROR(AVERAGEIF(PurchaseData!D:D, C275, PurchaseData!F:F) * E275, 0)</f>
        <v>0</v>
      </c>
    </row>
    <row r="276" spans="1:6" x14ac:dyDescent="0.35">
      <c r="A276" s="1" t="s">
        <v>82</v>
      </c>
      <c r="B276" s="1" t="s">
        <v>58</v>
      </c>
      <c r="C276" s="1" t="s">
        <v>21</v>
      </c>
      <c r="D276" s="1" t="s">
        <v>22</v>
      </c>
      <c r="E276" s="8">
        <v>5</v>
      </c>
      <c r="F276" s="1">
        <f>IFERROR(AVERAGEIF(PurchaseData!D:D, C276, PurchaseData!F:F) * E276, 0)</f>
        <v>1000</v>
      </c>
    </row>
    <row r="277" spans="1:6" x14ac:dyDescent="0.35">
      <c r="A277" s="1" t="s">
        <v>82</v>
      </c>
      <c r="B277" s="1" t="s">
        <v>58</v>
      </c>
      <c r="C277" s="1" t="s">
        <v>23</v>
      </c>
      <c r="D277" s="1" t="s">
        <v>24</v>
      </c>
      <c r="E277" s="8">
        <v>1</v>
      </c>
      <c r="F277" s="1">
        <f>IFERROR(AVERAGEIF(PurchaseData!D:D, C277, PurchaseData!F:F) * E277, 0)</f>
        <v>100</v>
      </c>
    </row>
    <row r="278" spans="1:6" x14ac:dyDescent="0.35">
      <c r="A278" s="1" t="s">
        <v>82</v>
      </c>
      <c r="B278" s="1" t="s">
        <v>58</v>
      </c>
      <c r="C278" s="1" t="s">
        <v>25</v>
      </c>
      <c r="D278" s="1" t="s">
        <v>17</v>
      </c>
      <c r="E278" s="8">
        <v>1</v>
      </c>
      <c r="F278" s="1">
        <f>IFERROR(AVERAGEIF(PurchaseData!D:D, C278, PurchaseData!F:F) * E278, 0)</f>
        <v>150</v>
      </c>
    </row>
    <row r="279" spans="1:6" x14ac:dyDescent="0.35">
      <c r="A279" s="1" t="s">
        <v>82</v>
      </c>
      <c r="B279" s="1" t="s">
        <v>58</v>
      </c>
      <c r="C279" s="1" t="s">
        <v>26</v>
      </c>
      <c r="D279" s="1" t="s">
        <v>17</v>
      </c>
      <c r="E279" s="8">
        <v>0</v>
      </c>
      <c r="F279" s="1">
        <f>IFERROR(AVERAGEIF(PurchaseData!D:D, C279, PurchaseData!F:F) * E279, 0)</f>
        <v>0</v>
      </c>
    </row>
    <row r="280" spans="1:6" x14ac:dyDescent="0.35">
      <c r="A280" s="1" t="s">
        <v>82</v>
      </c>
      <c r="B280" s="1" t="s">
        <v>58</v>
      </c>
      <c r="C280" s="1" t="s">
        <v>27</v>
      </c>
      <c r="D280" s="1" t="s">
        <v>19</v>
      </c>
      <c r="E280" s="8">
        <v>2</v>
      </c>
      <c r="F280" s="1">
        <f>IFERROR(AVERAGEIF(PurchaseData!D:D, C280, PurchaseData!F:F) * E280, 0)</f>
        <v>120</v>
      </c>
    </row>
    <row r="281" spans="1:6" x14ac:dyDescent="0.35">
      <c r="A281" s="1" t="s">
        <v>82</v>
      </c>
      <c r="B281" s="1" t="s">
        <v>58</v>
      </c>
      <c r="C281" s="1" t="s">
        <v>28</v>
      </c>
      <c r="D281" s="1" t="s">
        <v>29</v>
      </c>
      <c r="E281" s="8">
        <v>0.2</v>
      </c>
      <c r="F281" s="1">
        <f>IFERROR(AVERAGEIF(PurchaseData!D:D, C281, PurchaseData!F:F) * E281, 0)</f>
        <v>20</v>
      </c>
    </row>
    <row r="282" spans="1:6" x14ac:dyDescent="0.35">
      <c r="A282" s="1" t="s">
        <v>82</v>
      </c>
      <c r="B282" s="1" t="s">
        <v>58</v>
      </c>
      <c r="C282" s="1" t="s">
        <v>30</v>
      </c>
      <c r="D282" s="1" t="s">
        <v>17</v>
      </c>
      <c r="E282" s="8">
        <v>25</v>
      </c>
      <c r="F282" s="1">
        <f>IFERROR(AVERAGEIF(PurchaseData!D:D, C282, PurchaseData!F:F) * E282, 0)</f>
        <v>125</v>
      </c>
    </row>
    <row r="283" spans="1:6" x14ac:dyDescent="0.35">
      <c r="A283" s="1" t="s">
        <v>82</v>
      </c>
      <c r="B283" s="1" t="s">
        <v>58</v>
      </c>
      <c r="C283" s="1" t="s">
        <v>31</v>
      </c>
      <c r="D283" s="1" t="s">
        <v>17</v>
      </c>
      <c r="E283" s="8">
        <v>50</v>
      </c>
      <c r="F283" s="1">
        <f>IFERROR(AVERAGEIF(PurchaseData!D:D, C283, PurchaseData!F:F) * E283, 0)</f>
        <v>250</v>
      </c>
    </row>
    <row r="284" spans="1:6" x14ac:dyDescent="0.35">
      <c r="A284" s="1" t="s">
        <v>82</v>
      </c>
      <c r="B284" s="1" t="s">
        <v>58</v>
      </c>
      <c r="C284" s="1" t="s">
        <v>32</v>
      </c>
      <c r="D284" s="1" t="s">
        <v>17</v>
      </c>
      <c r="E284" s="8">
        <v>50</v>
      </c>
      <c r="F284" s="1">
        <f>IFERROR(AVERAGEIF(PurchaseData!D:D, C284, PurchaseData!F:F) * E284, 0)</f>
        <v>500</v>
      </c>
    </row>
    <row r="285" spans="1:6" x14ac:dyDescent="0.35">
      <c r="A285" s="1" t="s">
        <v>82</v>
      </c>
      <c r="B285" s="1" t="s">
        <v>58</v>
      </c>
      <c r="C285" s="1" t="s">
        <v>33</v>
      </c>
      <c r="D285" s="1" t="s">
        <v>22</v>
      </c>
      <c r="E285" s="8">
        <v>0.2</v>
      </c>
      <c r="F285" s="1">
        <f>IFERROR(AVERAGEIF(PurchaseData!D:D, C285, PurchaseData!F:F) * E285, 0)</f>
        <v>40</v>
      </c>
    </row>
    <row r="286" spans="1:6" x14ac:dyDescent="0.35">
      <c r="A286" s="1" t="s">
        <v>82</v>
      </c>
      <c r="B286" s="1" t="s">
        <v>58</v>
      </c>
      <c r="C286" s="1" t="s">
        <v>34</v>
      </c>
      <c r="D286" s="1" t="s">
        <v>24</v>
      </c>
      <c r="E286" s="8">
        <v>2</v>
      </c>
      <c r="F286" s="1">
        <f>IFERROR(AVERAGEIF(PurchaseData!D:D, C286, PurchaseData!F:F) * E286, 0)</f>
        <v>400</v>
      </c>
    </row>
    <row r="287" spans="1:6" x14ac:dyDescent="0.35">
      <c r="A287" s="1" t="s">
        <v>82</v>
      </c>
      <c r="B287" s="1" t="s">
        <v>58</v>
      </c>
      <c r="C287" s="1" t="s">
        <v>35</v>
      </c>
      <c r="D287" s="1" t="s">
        <v>36</v>
      </c>
      <c r="E287" s="8">
        <v>2</v>
      </c>
      <c r="F287" s="1">
        <f>IFERROR(AVERAGEIF(PurchaseData!D:D, C287, PurchaseData!F:F) * E287, 0)</f>
        <v>40</v>
      </c>
    </row>
    <row r="288" spans="1:6" x14ac:dyDescent="0.35">
      <c r="A288" s="1" t="s">
        <v>82</v>
      </c>
      <c r="B288" s="1" t="s">
        <v>58</v>
      </c>
      <c r="C288" s="1" t="s">
        <v>37</v>
      </c>
      <c r="D288" s="1" t="s">
        <v>22</v>
      </c>
      <c r="E288" s="8">
        <v>1</v>
      </c>
      <c r="F288" s="1">
        <f>IFERROR(AVERAGEIF(PurchaseData!D:D, C288, PurchaseData!F:F) * E288, 0)</f>
        <v>30</v>
      </c>
    </row>
    <row r="289" spans="1:6" x14ac:dyDescent="0.35">
      <c r="A289" s="1" t="s">
        <v>82</v>
      </c>
      <c r="B289" s="1" t="s">
        <v>58</v>
      </c>
      <c r="C289" s="1" t="s">
        <v>38</v>
      </c>
      <c r="D289" s="1" t="s">
        <v>29</v>
      </c>
      <c r="E289" s="8">
        <v>1.6</v>
      </c>
      <c r="F289" s="1">
        <f>IFERROR(AVERAGEIF(PurchaseData!D:D, C289, PurchaseData!F:F) * E289, 0)</f>
        <v>192</v>
      </c>
    </row>
    <row r="290" spans="1:6" x14ac:dyDescent="0.35">
      <c r="A290" s="1" t="s">
        <v>82</v>
      </c>
      <c r="B290" s="1" t="s">
        <v>58</v>
      </c>
      <c r="C290" s="1" t="s">
        <v>39</v>
      </c>
      <c r="D290" s="1" t="s">
        <v>29</v>
      </c>
      <c r="E290" s="8">
        <v>0</v>
      </c>
      <c r="F290" s="1">
        <f>IFERROR(AVERAGEIF(PurchaseData!D:D, C290, PurchaseData!F:F) * E290, 0)</f>
        <v>0</v>
      </c>
    </row>
    <row r="291" spans="1:6" x14ac:dyDescent="0.35">
      <c r="A291" s="1" t="s">
        <v>82</v>
      </c>
      <c r="B291" s="1" t="s">
        <v>58</v>
      </c>
      <c r="C291" s="1" t="s">
        <v>40</v>
      </c>
      <c r="D291" s="1" t="s">
        <v>22</v>
      </c>
      <c r="E291" s="8">
        <v>1.5</v>
      </c>
      <c r="F291" s="1">
        <f>IFERROR(AVERAGEIF(PurchaseData!D:D, C291, PurchaseData!F:F) * E291, 0)</f>
        <v>187.5</v>
      </c>
    </row>
    <row r="292" spans="1:6" x14ac:dyDescent="0.35">
      <c r="A292" s="1" t="s">
        <v>82</v>
      </c>
      <c r="B292" s="1" t="s">
        <v>58</v>
      </c>
      <c r="C292" s="1" t="s">
        <v>41</v>
      </c>
      <c r="D292" s="1" t="s">
        <v>29</v>
      </c>
      <c r="E292" s="8">
        <v>0</v>
      </c>
      <c r="F292" s="1">
        <f>IFERROR(AVERAGEIF(PurchaseData!D:D, C292, PurchaseData!F:F) * E292, 0)</f>
        <v>0</v>
      </c>
    </row>
    <row r="293" spans="1:6" x14ac:dyDescent="0.35">
      <c r="A293" s="1" t="s">
        <v>82</v>
      </c>
      <c r="B293" s="1" t="s">
        <v>58</v>
      </c>
      <c r="C293" s="1" t="s">
        <v>42</v>
      </c>
      <c r="D293" s="1" t="s">
        <v>43</v>
      </c>
      <c r="E293" s="8">
        <v>0</v>
      </c>
      <c r="F293" s="1">
        <f>IFERROR(AVERAGEIF(PurchaseData!D:D, C293, PurchaseData!F:F) * E293, 0)</f>
        <v>0</v>
      </c>
    </row>
    <row r="294" spans="1:6" x14ac:dyDescent="0.35">
      <c r="A294" s="1" t="s">
        <v>82</v>
      </c>
      <c r="B294" s="1" t="s">
        <v>58</v>
      </c>
      <c r="C294" s="1" t="s">
        <v>44</v>
      </c>
      <c r="D294" s="1" t="s">
        <v>45</v>
      </c>
      <c r="E294" s="8">
        <v>1.5</v>
      </c>
      <c r="F294" s="1">
        <f>IFERROR(AVERAGEIF(PurchaseData!D:D, C294, PurchaseData!F:F) * E294, 0)</f>
        <v>247.5</v>
      </c>
    </row>
    <row r="295" spans="1:6" x14ac:dyDescent="0.35">
      <c r="A295" s="1" t="s">
        <v>82</v>
      </c>
      <c r="B295" s="1" t="s">
        <v>58</v>
      </c>
      <c r="C295" s="1" t="s">
        <v>46</v>
      </c>
      <c r="D295" s="1" t="s">
        <v>17</v>
      </c>
      <c r="E295" s="8">
        <v>14</v>
      </c>
      <c r="F295" s="1">
        <f>IFERROR(AVERAGEIF(PurchaseData!D:D, C295, PurchaseData!F:F) * E295, 0)</f>
        <v>0</v>
      </c>
    </row>
    <row r="296" spans="1:6" x14ac:dyDescent="0.35">
      <c r="A296" s="1" t="s">
        <v>82</v>
      </c>
      <c r="B296" s="1" t="s">
        <v>58</v>
      </c>
      <c r="C296" s="1" t="s">
        <v>47</v>
      </c>
      <c r="D296" s="1" t="s">
        <v>19</v>
      </c>
      <c r="E296" s="8">
        <v>5</v>
      </c>
      <c r="F296" s="1">
        <f>IFERROR(AVERAGEIF(PurchaseData!D:D, C296, PurchaseData!F:F) * E296, 0)</f>
        <v>50</v>
      </c>
    </row>
    <row r="297" spans="1:6" x14ac:dyDescent="0.35">
      <c r="A297" s="1" t="s">
        <v>82</v>
      </c>
      <c r="B297" s="1" t="s">
        <v>58</v>
      </c>
      <c r="C297" s="1" t="s">
        <v>48</v>
      </c>
      <c r="D297" s="1" t="s">
        <v>24</v>
      </c>
      <c r="E297" s="8">
        <v>0</v>
      </c>
      <c r="F297" s="1">
        <f>IFERROR(AVERAGEIF(PurchaseData!D:D, C297, PurchaseData!F:F) * E297, 0)</f>
        <v>0</v>
      </c>
    </row>
    <row r="298" spans="1:6" x14ac:dyDescent="0.35">
      <c r="A298" s="1" t="s">
        <v>82</v>
      </c>
      <c r="B298" s="1" t="s">
        <v>58</v>
      </c>
      <c r="C298" s="1" t="s">
        <v>49</v>
      </c>
      <c r="D298" s="1" t="s">
        <v>24</v>
      </c>
      <c r="E298" s="8">
        <v>0</v>
      </c>
      <c r="F298" s="1">
        <f>IFERROR(AVERAGEIF(PurchaseData!D:D, C298, PurchaseData!F:F) * E298, 0)</f>
        <v>0</v>
      </c>
    </row>
    <row r="299" spans="1:6" x14ac:dyDescent="0.35">
      <c r="A299" s="1" t="s">
        <v>82</v>
      </c>
      <c r="B299" s="1" t="s">
        <v>58</v>
      </c>
      <c r="C299" s="1" t="s">
        <v>50</v>
      </c>
      <c r="D299" s="1" t="s">
        <v>19</v>
      </c>
      <c r="E299" s="8">
        <v>0</v>
      </c>
      <c r="F299" s="1">
        <f>IFERROR(AVERAGEIF(PurchaseData!D:D, C299, PurchaseData!F:F) * E299, 0)</f>
        <v>0</v>
      </c>
    </row>
    <row r="300" spans="1:6" x14ac:dyDescent="0.35">
      <c r="A300" s="1" t="s">
        <v>82</v>
      </c>
      <c r="B300" s="1" t="s">
        <v>58</v>
      </c>
      <c r="C300" s="1" t="s">
        <v>51</v>
      </c>
      <c r="D300" s="1" t="s">
        <v>22</v>
      </c>
      <c r="E300" s="8">
        <v>0</v>
      </c>
      <c r="F300" s="1">
        <f>IFERROR(AVERAGEIF(PurchaseData!D:D, C300, PurchaseData!F:F) * E300, 0)</f>
        <v>0</v>
      </c>
    </row>
    <row r="301" spans="1:6" x14ac:dyDescent="0.35">
      <c r="A301" s="1" t="s">
        <v>82</v>
      </c>
      <c r="B301" s="1" t="s">
        <v>58</v>
      </c>
      <c r="C301" s="1" t="s">
        <v>52</v>
      </c>
      <c r="D301" s="1" t="s">
        <v>53</v>
      </c>
      <c r="E301" s="8">
        <v>0</v>
      </c>
      <c r="F301" s="1">
        <f>IFERROR(AVERAGEIF(PurchaseData!D:D, C301, PurchaseData!F:F) * E301, 0)</f>
        <v>0</v>
      </c>
    </row>
    <row r="302" spans="1:6" x14ac:dyDescent="0.35">
      <c r="A302" s="1" t="s">
        <v>82</v>
      </c>
      <c r="B302" s="1" t="s">
        <v>58</v>
      </c>
      <c r="C302" s="1" t="s">
        <v>54</v>
      </c>
      <c r="D302" s="1" t="s">
        <v>29</v>
      </c>
      <c r="E302" s="8">
        <v>0.2</v>
      </c>
      <c r="F302" s="1">
        <f>IFERROR(AVERAGEIF(PurchaseData!D:D, C302, PurchaseData!F:F) * E302, 0)</f>
        <v>170</v>
      </c>
    </row>
    <row r="303" spans="1:6" x14ac:dyDescent="0.35">
      <c r="A303" s="1" t="s">
        <v>16</v>
      </c>
      <c r="B303" s="1" t="s">
        <v>58</v>
      </c>
      <c r="C303" s="1" t="s">
        <v>107</v>
      </c>
      <c r="D303" s="1" t="s">
        <v>108</v>
      </c>
      <c r="E303" s="8">
        <v>250</v>
      </c>
      <c r="F303" s="1">
        <f>IFERROR(AVERAGEIF(PurchaseData!D:D, C303, PurchaseData!F:F) * E303, 0)</f>
        <v>2000</v>
      </c>
    </row>
    <row r="304" spans="1:6" x14ac:dyDescent="0.35">
      <c r="A304" s="1" t="s">
        <v>16</v>
      </c>
      <c r="B304" s="1" t="s">
        <v>58</v>
      </c>
      <c r="C304" s="1" t="s">
        <v>109</v>
      </c>
      <c r="D304" s="1" t="s">
        <v>22</v>
      </c>
      <c r="E304" s="8">
        <v>1.5</v>
      </c>
      <c r="F304" s="1">
        <f>IFERROR(AVERAGEIF(PurchaseData!D:D, C304, PurchaseData!F:F) * E304, 0)</f>
        <v>105</v>
      </c>
    </row>
    <row r="305" spans="1:6" x14ac:dyDescent="0.35">
      <c r="A305" s="1" t="s">
        <v>16</v>
      </c>
      <c r="B305" s="1" t="s">
        <v>58</v>
      </c>
      <c r="C305" s="1" t="s">
        <v>110</v>
      </c>
      <c r="D305" s="1" t="s">
        <v>24</v>
      </c>
      <c r="E305" s="8">
        <v>0.5</v>
      </c>
      <c r="F305" s="1">
        <f>IFERROR(AVERAGEIF(PurchaseData!D:D, C305, PurchaseData!F:F) * E305, 0)</f>
        <v>400</v>
      </c>
    </row>
    <row r="306" spans="1:6" x14ac:dyDescent="0.35">
      <c r="A306" s="1" t="s">
        <v>16</v>
      </c>
      <c r="B306" s="1" t="s">
        <v>58</v>
      </c>
      <c r="C306" s="1" t="s">
        <v>111</v>
      </c>
      <c r="D306" s="1" t="s">
        <v>22</v>
      </c>
      <c r="E306" s="8">
        <v>0.05</v>
      </c>
      <c r="F306" s="1">
        <f>IFERROR(AVERAGEIF(PurchaseData!D:D, C306, PurchaseData!F:F) * E306, 0)</f>
        <v>4.5</v>
      </c>
    </row>
    <row r="307" spans="1:6" x14ac:dyDescent="0.35">
      <c r="A307" s="1" t="s">
        <v>16</v>
      </c>
      <c r="B307" s="1" t="s">
        <v>58</v>
      </c>
      <c r="C307" s="1" t="s">
        <v>112</v>
      </c>
      <c r="D307" s="1" t="s">
        <v>24</v>
      </c>
      <c r="E307" s="8">
        <v>0.1</v>
      </c>
      <c r="F307" s="1">
        <f>IFERROR(AVERAGEIF(PurchaseData!D:D, C307, PurchaseData!F:F) * E307, 0)</f>
        <v>30</v>
      </c>
    </row>
    <row r="308" spans="1:6" x14ac:dyDescent="0.35">
      <c r="A308" s="1" t="s">
        <v>82</v>
      </c>
      <c r="B308" s="1" t="s">
        <v>63</v>
      </c>
      <c r="C308" s="1" t="s">
        <v>63</v>
      </c>
      <c r="D308" s="1" t="s">
        <v>17</v>
      </c>
      <c r="E308" s="8">
        <v>1</v>
      </c>
      <c r="F308" s="1">
        <f>IFERROR(AVERAGEIF(PurchaseData!D:D, C308, PurchaseData!F:F) * E308, 0)</f>
        <v>0</v>
      </c>
    </row>
    <row r="309" spans="1:6" x14ac:dyDescent="0.35">
      <c r="A309" s="1" t="s">
        <v>82</v>
      </c>
      <c r="B309" s="1" t="s">
        <v>63</v>
      </c>
      <c r="C309" s="1" t="s">
        <v>106</v>
      </c>
      <c r="D309" s="1" t="s">
        <v>19</v>
      </c>
      <c r="E309" s="9">
        <v>3</v>
      </c>
      <c r="F309" s="1">
        <f>IFERROR(AVERAGEIF(PurchaseData!D:D, C309, PurchaseData!F:F) * E309, 0)</f>
        <v>0</v>
      </c>
    </row>
    <row r="310" spans="1:6" x14ac:dyDescent="0.35">
      <c r="A310" s="1" t="s">
        <v>82</v>
      </c>
      <c r="B310" s="1" t="s">
        <v>63</v>
      </c>
      <c r="C310" s="1" t="s">
        <v>21</v>
      </c>
      <c r="D310" s="1" t="s">
        <v>22</v>
      </c>
      <c r="E310" s="9">
        <v>0.5</v>
      </c>
      <c r="F310" s="1">
        <f>IFERROR(AVERAGEIF(PurchaseData!D:D, C310, PurchaseData!F:F) * E310, 0)</f>
        <v>100</v>
      </c>
    </row>
    <row r="311" spans="1:6" x14ac:dyDescent="0.35">
      <c r="A311" s="1" t="s">
        <v>82</v>
      </c>
      <c r="B311" s="1" t="s">
        <v>63</v>
      </c>
      <c r="C311" s="1" t="s">
        <v>23</v>
      </c>
      <c r="D311" s="1" t="s">
        <v>24</v>
      </c>
      <c r="E311" s="9">
        <v>1</v>
      </c>
      <c r="F311" s="1">
        <f>IFERROR(AVERAGEIF(PurchaseData!D:D, C311, PurchaseData!F:F) * E311, 0)</f>
        <v>100</v>
      </c>
    </row>
    <row r="312" spans="1:6" x14ac:dyDescent="0.35">
      <c r="A312" s="1" t="s">
        <v>82</v>
      </c>
      <c r="B312" s="1" t="s">
        <v>63</v>
      </c>
      <c r="C312" s="1" t="s">
        <v>31</v>
      </c>
      <c r="D312" s="1" t="s">
        <v>17</v>
      </c>
      <c r="E312" s="9">
        <v>10</v>
      </c>
      <c r="F312" s="1">
        <f>IFERROR(AVERAGEIF(PurchaseData!D:D, C312, PurchaseData!F:F) * E312, 0)</f>
        <v>50</v>
      </c>
    </row>
    <row r="313" spans="1:6" x14ac:dyDescent="0.35">
      <c r="A313" s="1" t="s">
        <v>82</v>
      </c>
      <c r="B313" s="1" t="s">
        <v>63</v>
      </c>
      <c r="C313" s="1" t="s">
        <v>33</v>
      </c>
      <c r="D313" s="1" t="s">
        <v>22</v>
      </c>
      <c r="E313" s="9">
        <v>0.05</v>
      </c>
      <c r="F313" s="1">
        <f>IFERROR(AVERAGEIF(PurchaseData!D:D, C313, PurchaseData!F:F) * E313, 0)</f>
        <v>10</v>
      </c>
    </row>
    <row r="314" spans="1:6" x14ac:dyDescent="0.35">
      <c r="A314" s="1" t="s">
        <v>82</v>
      </c>
      <c r="B314" s="1" t="s">
        <v>63</v>
      </c>
      <c r="C314" s="1" t="s">
        <v>34</v>
      </c>
      <c r="D314" s="1" t="s">
        <v>24</v>
      </c>
      <c r="E314" s="9">
        <v>0.5</v>
      </c>
      <c r="F314" s="1">
        <f>IFERROR(AVERAGEIF(PurchaseData!D:D, C314, PurchaseData!F:F) * E314, 0)</f>
        <v>100</v>
      </c>
    </row>
    <row r="315" spans="1:6" x14ac:dyDescent="0.35">
      <c r="A315" s="1" t="s">
        <v>82</v>
      </c>
      <c r="B315" s="1" t="s">
        <v>63</v>
      </c>
      <c r="C315" s="1" t="s">
        <v>40</v>
      </c>
      <c r="D315" s="1" t="s">
        <v>22</v>
      </c>
      <c r="E315" s="9">
        <v>0.25</v>
      </c>
      <c r="F315" s="1">
        <f>IFERROR(AVERAGEIF(PurchaseData!D:D, C315, PurchaseData!F:F) * E315, 0)</f>
        <v>31.25</v>
      </c>
    </row>
    <row r="316" spans="1:6" x14ac:dyDescent="0.35">
      <c r="A316" s="1" t="s">
        <v>82</v>
      </c>
      <c r="B316" s="1" t="s">
        <v>63</v>
      </c>
      <c r="C316" s="1" t="s">
        <v>44</v>
      </c>
      <c r="D316" s="1" t="s">
        <v>45</v>
      </c>
      <c r="E316" s="9">
        <v>0.25</v>
      </c>
      <c r="F316" s="1">
        <f>IFERROR(AVERAGEIF(PurchaseData!D:D, C316, PurchaseData!F:F) * E316, 0)</f>
        <v>41.25</v>
      </c>
    </row>
    <row r="317" spans="1:6" x14ac:dyDescent="0.35">
      <c r="A317" s="1" t="s">
        <v>82</v>
      </c>
      <c r="B317" s="1" t="s">
        <v>63</v>
      </c>
      <c r="C317" s="1" t="s">
        <v>46</v>
      </c>
      <c r="D317" s="1" t="s">
        <v>17</v>
      </c>
      <c r="E317" s="9">
        <v>5</v>
      </c>
      <c r="F317" s="1">
        <f>IFERROR(AVERAGEIF(PurchaseData!D:D, C317, PurchaseData!F:F) * E317, 0)</f>
        <v>0</v>
      </c>
    </row>
    <row r="318" spans="1:6" x14ac:dyDescent="0.35">
      <c r="A318" s="1" t="s">
        <v>82</v>
      </c>
      <c r="B318" s="1" t="s">
        <v>63</v>
      </c>
      <c r="C318" s="1" t="s">
        <v>47</v>
      </c>
      <c r="D318" s="1" t="s">
        <v>19</v>
      </c>
      <c r="E318" s="9">
        <v>2</v>
      </c>
      <c r="F318" s="1">
        <f>IFERROR(AVERAGEIF(PurchaseData!D:D, C318, PurchaseData!F:F) * E318, 0)</f>
        <v>20</v>
      </c>
    </row>
    <row r="319" spans="1:6" x14ac:dyDescent="0.35">
      <c r="A319" s="1" t="s">
        <v>82</v>
      </c>
      <c r="B319" s="1" t="s">
        <v>63</v>
      </c>
      <c r="C319" s="1" t="s">
        <v>54</v>
      </c>
      <c r="D319" s="1" t="s">
        <v>29</v>
      </c>
      <c r="E319" s="9">
        <v>0.1</v>
      </c>
      <c r="F319" s="1">
        <f>IFERROR(AVERAGEIF(PurchaseData!D:D, C319, PurchaseData!F:F) * E319, 0)</f>
        <v>85</v>
      </c>
    </row>
    <row r="320" spans="1:6" x14ac:dyDescent="0.35">
      <c r="A320" s="1" t="s">
        <v>16</v>
      </c>
      <c r="B320" s="1" t="s">
        <v>63</v>
      </c>
      <c r="C320" s="1" t="s">
        <v>107</v>
      </c>
      <c r="D320" s="1" t="s">
        <v>108</v>
      </c>
      <c r="E320" s="9">
        <v>30</v>
      </c>
      <c r="F320" s="1">
        <f>IFERROR(AVERAGEIF(PurchaseData!D:D, C320, PurchaseData!F:F) * E320, 0)</f>
        <v>240</v>
      </c>
    </row>
    <row r="321" spans="1:6" x14ac:dyDescent="0.35">
      <c r="A321" s="1" t="s">
        <v>16</v>
      </c>
      <c r="B321" s="1" t="s">
        <v>63</v>
      </c>
      <c r="C321" s="1" t="s">
        <v>109</v>
      </c>
      <c r="D321" s="1" t="s">
        <v>22</v>
      </c>
      <c r="E321" s="9">
        <v>0.5</v>
      </c>
      <c r="F321" s="1">
        <f>IFERROR(AVERAGEIF(PurchaseData!D:D, C321, PurchaseData!F:F) * E321, 0)</f>
        <v>35</v>
      </c>
    </row>
    <row r="322" spans="1:6" x14ac:dyDescent="0.35">
      <c r="A322" s="1" t="s">
        <v>16</v>
      </c>
      <c r="B322" s="1" t="s">
        <v>63</v>
      </c>
      <c r="C322" s="1" t="s">
        <v>110</v>
      </c>
      <c r="D322" s="1" t="s">
        <v>24</v>
      </c>
      <c r="E322" s="9">
        <v>0.5</v>
      </c>
      <c r="F322" s="1">
        <f>IFERROR(AVERAGEIF(PurchaseData!D:D, C322, PurchaseData!F:F) * E322, 0)</f>
        <v>400</v>
      </c>
    </row>
    <row r="323" spans="1:6" x14ac:dyDescent="0.35">
      <c r="A323" s="1" t="s">
        <v>16</v>
      </c>
      <c r="B323" s="1" t="s">
        <v>63</v>
      </c>
      <c r="C323" s="1" t="s">
        <v>111</v>
      </c>
      <c r="D323" s="1" t="s">
        <v>22</v>
      </c>
      <c r="E323" s="9">
        <v>0</v>
      </c>
      <c r="F323" s="1">
        <f>IFERROR(AVERAGEIF(PurchaseData!D:D, C323, PurchaseData!F:F) * E323, 0)</f>
        <v>0</v>
      </c>
    </row>
    <row r="324" spans="1:6" x14ac:dyDescent="0.35">
      <c r="A324" s="1" t="s">
        <v>16</v>
      </c>
      <c r="B324" s="1" t="s">
        <v>63</v>
      </c>
      <c r="C324" s="1" t="s">
        <v>112</v>
      </c>
      <c r="D324" s="1" t="s">
        <v>24</v>
      </c>
      <c r="E324" s="9">
        <v>0.1</v>
      </c>
      <c r="F324" s="1">
        <f>IFERROR(AVERAGEIF(PurchaseData!D:D, C324, PurchaseData!F:F) * E324, 0)</f>
        <v>30</v>
      </c>
    </row>
    <row r="325" spans="1:6" x14ac:dyDescent="0.35">
      <c r="A325" s="1" t="s">
        <v>82</v>
      </c>
      <c r="B325" s="1" t="s">
        <v>64</v>
      </c>
      <c r="C325" s="1" t="s">
        <v>106</v>
      </c>
      <c r="D325" s="1" t="s">
        <v>19</v>
      </c>
      <c r="E325" s="9">
        <v>3</v>
      </c>
      <c r="F325" s="1">
        <f>IFERROR(AVERAGEIF(PurchaseData!D:D, C325, PurchaseData!F:F) * E325, 0)</f>
        <v>0</v>
      </c>
    </row>
    <row r="326" spans="1:6" x14ac:dyDescent="0.35">
      <c r="A326" s="1" t="s">
        <v>82</v>
      </c>
      <c r="B326" s="1" t="s">
        <v>64</v>
      </c>
      <c r="C326" s="1" t="s">
        <v>21</v>
      </c>
      <c r="D326" s="1" t="s">
        <v>22</v>
      </c>
      <c r="E326" s="9">
        <v>0.5</v>
      </c>
      <c r="F326" s="1">
        <f>IFERROR(AVERAGEIF(PurchaseData!D:D, C326, PurchaseData!F:F) * E326, 0)</f>
        <v>100</v>
      </c>
    </row>
    <row r="327" spans="1:6" x14ac:dyDescent="0.35">
      <c r="A327" s="1" t="s">
        <v>82</v>
      </c>
      <c r="B327" s="1" t="s">
        <v>64</v>
      </c>
      <c r="C327" s="1" t="s">
        <v>23</v>
      </c>
      <c r="D327" s="1" t="s">
        <v>24</v>
      </c>
      <c r="E327" s="9">
        <v>1</v>
      </c>
      <c r="F327" s="1">
        <f>IFERROR(AVERAGEIF(PurchaseData!D:D, C327, PurchaseData!F:F) * E327, 0)</f>
        <v>100</v>
      </c>
    </row>
    <row r="328" spans="1:6" x14ac:dyDescent="0.35">
      <c r="A328" s="1" t="s">
        <v>82</v>
      </c>
      <c r="B328" s="1" t="s">
        <v>64</v>
      </c>
      <c r="C328" s="1" t="s">
        <v>31</v>
      </c>
      <c r="D328" s="1" t="s">
        <v>17</v>
      </c>
      <c r="E328" s="9">
        <v>10</v>
      </c>
      <c r="F328" s="1">
        <f>IFERROR(AVERAGEIF(PurchaseData!D:D, C328, PurchaseData!F:F) * E328, 0)</f>
        <v>50</v>
      </c>
    </row>
    <row r="329" spans="1:6" x14ac:dyDescent="0.35">
      <c r="A329" s="1" t="s">
        <v>82</v>
      </c>
      <c r="B329" s="1" t="s">
        <v>64</v>
      </c>
      <c r="C329" s="1" t="s">
        <v>33</v>
      </c>
      <c r="D329" s="1" t="s">
        <v>22</v>
      </c>
      <c r="E329" s="9">
        <v>0.05</v>
      </c>
      <c r="F329" s="1">
        <f>IFERROR(AVERAGEIF(PurchaseData!D:D, C329, PurchaseData!F:F) * E329, 0)</f>
        <v>10</v>
      </c>
    </row>
    <row r="330" spans="1:6" x14ac:dyDescent="0.35">
      <c r="A330" s="1" t="s">
        <v>82</v>
      </c>
      <c r="B330" s="1" t="s">
        <v>64</v>
      </c>
      <c r="C330" s="1" t="s">
        <v>34</v>
      </c>
      <c r="D330" s="1" t="s">
        <v>24</v>
      </c>
      <c r="E330" s="9">
        <v>0.5</v>
      </c>
      <c r="F330" s="1">
        <f>IFERROR(AVERAGEIF(PurchaseData!D:D, C330, PurchaseData!F:F) * E330, 0)</f>
        <v>100</v>
      </c>
    </row>
    <row r="331" spans="1:6" x14ac:dyDescent="0.35">
      <c r="A331" s="1" t="s">
        <v>82</v>
      </c>
      <c r="B331" s="1" t="s">
        <v>64</v>
      </c>
      <c r="C331" s="1" t="s">
        <v>40</v>
      </c>
      <c r="D331" s="1" t="s">
        <v>22</v>
      </c>
      <c r="E331" s="9">
        <v>0.25</v>
      </c>
      <c r="F331" s="1">
        <f>IFERROR(AVERAGEIF(PurchaseData!D:D, C331, PurchaseData!F:F) * E331, 0)</f>
        <v>31.25</v>
      </c>
    </row>
    <row r="332" spans="1:6" x14ac:dyDescent="0.35">
      <c r="A332" s="1" t="s">
        <v>82</v>
      </c>
      <c r="B332" s="1" t="s">
        <v>64</v>
      </c>
      <c r="C332" s="1" t="s">
        <v>44</v>
      </c>
      <c r="D332" s="1" t="s">
        <v>45</v>
      </c>
      <c r="E332" s="9">
        <v>0.25</v>
      </c>
      <c r="F332" s="1">
        <f>IFERROR(AVERAGEIF(PurchaseData!D:D, C332, PurchaseData!F:F) * E332, 0)</f>
        <v>41.25</v>
      </c>
    </row>
    <row r="333" spans="1:6" x14ac:dyDescent="0.35">
      <c r="A333" s="1" t="s">
        <v>82</v>
      </c>
      <c r="B333" s="1" t="s">
        <v>64</v>
      </c>
      <c r="C333" s="1" t="s">
        <v>46</v>
      </c>
      <c r="D333" s="1" t="s">
        <v>17</v>
      </c>
      <c r="E333" s="9">
        <v>5</v>
      </c>
      <c r="F333" s="1">
        <f>IFERROR(AVERAGEIF(PurchaseData!D:D, C333, PurchaseData!F:F) * E333, 0)</f>
        <v>0</v>
      </c>
    </row>
    <row r="334" spans="1:6" x14ac:dyDescent="0.35">
      <c r="A334" s="1" t="s">
        <v>82</v>
      </c>
      <c r="B334" s="1" t="s">
        <v>64</v>
      </c>
      <c r="C334" s="1" t="s">
        <v>47</v>
      </c>
      <c r="D334" s="1" t="s">
        <v>19</v>
      </c>
      <c r="E334" s="9">
        <v>2</v>
      </c>
      <c r="F334" s="1">
        <f>IFERROR(AVERAGEIF(PurchaseData!D:D, C334, PurchaseData!F:F) * E334, 0)</f>
        <v>20</v>
      </c>
    </row>
    <row r="335" spans="1:6" x14ac:dyDescent="0.35">
      <c r="A335" s="1" t="s">
        <v>82</v>
      </c>
      <c r="B335" s="1" t="s">
        <v>64</v>
      </c>
      <c r="C335" s="1" t="s">
        <v>54</v>
      </c>
      <c r="D335" s="1" t="s">
        <v>29</v>
      </c>
      <c r="E335" s="9">
        <v>0.1</v>
      </c>
      <c r="F335" s="1">
        <f>IFERROR(AVERAGEIF(PurchaseData!D:D, C335, PurchaseData!F:F) * E335, 0)</f>
        <v>85</v>
      </c>
    </row>
    <row r="336" spans="1:6" x14ac:dyDescent="0.35">
      <c r="A336" s="1" t="s">
        <v>16</v>
      </c>
      <c r="B336" s="1" t="s">
        <v>64</v>
      </c>
      <c r="C336" s="1" t="s">
        <v>107</v>
      </c>
      <c r="D336" s="1" t="s">
        <v>108</v>
      </c>
      <c r="E336" s="9">
        <v>30</v>
      </c>
      <c r="F336" s="1">
        <f>IFERROR(AVERAGEIF(PurchaseData!D:D, C336, PurchaseData!F:F) * E336, 0)</f>
        <v>240</v>
      </c>
    </row>
    <row r="337" spans="1:6" x14ac:dyDescent="0.35">
      <c r="A337" s="1" t="s">
        <v>16</v>
      </c>
      <c r="B337" s="1" t="s">
        <v>64</v>
      </c>
      <c r="C337" s="1" t="s">
        <v>109</v>
      </c>
      <c r="D337" s="1" t="s">
        <v>22</v>
      </c>
      <c r="E337" s="9">
        <v>0.5</v>
      </c>
      <c r="F337" s="1">
        <f>IFERROR(AVERAGEIF(PurchaseData!D:D, C337, PurchaseData!F:F) * E337, 0)</f>
        <v>35</v>
      </c>
    </row>
    <row r="338" spans="1:6" x14ac:dyDescent="0.35">
      <c r="A338" s="1" t="s">
        <v>16</v>
      </c>
      <c r="B338" s="1" t="s">
        <v>64</v>
      </c>
      <c r="C338" s="1" t="s">
        <v>110</v>
      </c>
      <c r="D338" s="1" t="s">
        <v>24</v>
      </c>
      <c r="E338" s="9">
        <v>0.5</v>
      </c>
      <c r="F338" s="1">
        <f>IFERROR(AVERAGEIF(PurchaseData!D:D, C338, PurchaseData!F:F) * E338, 0)</f>
        <v>400</v>
      </c>
    </row>
    <row r="339" spans="1:6" x14ac:dyDescent="0.35">
      <c r="A339" s="1" t="s">
        <v>16</v>
      </c>
      <c r="B339" s="1" t="s">
        <v>64</v>
      </c>
      <c r="C339" s="1" t="s">
        <v>111</v>
      </c>
      <c r="D339" s="1" t="s">
        <v>22</v>
      </c>
      <c r="E339" s="9">
        <v>0</v>
      </c>
      <c r="F339" s="1">
        <f>IFERROR(AVERAGEIF(PurchaseData!D:D, C339, PurchaseData!F:F) * E339, 0)</f>
        <v>0</v>
      </c>
    </row>
    <row r="340" spans="1:6" x14ac:dyDescent="0.35">
      <c r="A340" s="1" t="s">
        <v>16</v>
      </c>
      <c r="B340" s="1" t="s">
        <v>64</v>
      </c>
      <c r="C340" s="1" t="s">
        <v>112</v>
      </c>
      <c r="D340" s="1" t="s">
        <v>24</v>
      </c>
      <c r="E340" s="9">
        <v>0.1</v>
      </c>
      <c r="F340" s="1">
        <f>IFERROR(AVERAGEIF(PurchaseData!D:D, C340, PurchaseData!F:F) * E340, 0)</f>
        <v>30</v>
      </c>
    </row>
    <row r="341" spans="1:6" x14ac:dyDescent="0.35">
      <c r="A341" s="1" t="s">
        <v>82</v>
      </c>
      <c r="B341" s="1" t="s">
        <v>62</v>
      </c>
      <c r="C341" s="1" t="s">
        <v>62</v>
      </c>
      <c r="D341" s="1" t="s">
        <v>17</v>
      </c>
      <c r="E341" s="8">
        <v>1</v>
      </c>
      <c r="F341" s="1">
        <f>IFERROR(AVERAGEIF(PurchaseData!D:D, C341, PurchaseData!F:F) * E341, 0)</f>
        <v>0</v>
      </c>
    </row>
    <row r="342" spans="1:6" x14ac:dyDescent="0.35">
      <c r="A342" s="1" t="s">
        <v>82</v>
      </c>
      <c r="B342" s="1" t="s">
        <v>62</v>
      </c>
      <c r="C342" s="1" t="s">
        <v>106</v>
      </c>
      <c r="D342" s="1" t="s">
        <v>19</v>
      </c>
      <c r="E342" s="9">
        <v>1</v>
      </c>
      <c r="F342" s="1">
        <f>IFERROR(AVERAGEIF(PurchaseData!D:D, C342, PurchaseData!F:F) * E342, 0)</f>
        <v>0</v>
      </c>
    </row>
    <row r="343" spans="1:6" x14ac:dyDescent="0.35">
      <c r="A343" s="1" t="s">
        <v>82</v>
      </c>
      <c r="B343" s="1" t="s">
        <v>62</v>
      </c>
      <c r="C343" s="1" t="s">
        <v>21</v>
      </c>
      <c r="D343" s="1" t="s">
        <v>22</v>
      </c>
      <c r="E343" s="9">
        <v>0.1</v>
      </c>
      <c r="F343" s="1">
        <f>IFERROR(AVERAGEIF(PurchaseData!D:D, C343, PurchaseData!F:F) * E343, 0)</f>
        <v>20</v>
      </c>
    </row>
    <row r="344" spans="1:6" x14ac:dyDescent="0.35">
      <c r="A344" s="1" t="s">
        <v>82</v>
      </c>
      <c r="B344" s="1" t="s">
        <v>62</v>
      </c>
      <c r="C344" s="1" t="s">
        <v>23</v>
      </c>
      <c r="D344" s="1" t="s">
        <v>24</v>
      </c>
      <c r="E344" s="9">
        <v>0.5</v>
      </c>
      <c r="F344" s="1">
        <f>IFERROR(AVERAGEIF(PurchaseData!D:D, C344, PurchaseData!F:F) * E344, 0)</f>
        <v>50</v>
      </c>
    </row>
    <row r="345" spans="1:6" x14ac:dyDescent="0.35">
      <c r="A345" s="1" t="s">
        <v>82</v>
      </c>
      <c r="B345" s="1" t="s">
        <v>62</v>
      </c>
      <c r="C345" s="1" t="s">
        <v>31</v>
      </c>
      <c r="D345" s="1" t="s">
        <v>17</v>
      </c>
      <c r="E345" s="9">
        <v>0</v>
      </c>
      <c r="F345" s="1">
        <f>IFERROR(AVERAGEIF(PurchaseData!D:D, C345, PurchaseData!F:F) * E345, 0)</f>
        <v>0</v>
      </c>
    </row>
    <row r="346" spans="1:6" x14ac:dyDescent="0.35">
      <c r="A346" s="1" t="s">
        <v>82</v>
      </c>
      <c r="B346" s="1" t="s">
        <v>62</v>
      </c>
      <c r="C346" s="1" t="s">
        <v>33</v>
      </c>
      <c r="D346" s="1" t="s">
        <v>22</v>
      </c>
      <c r="E346" s="9">
        <v>0.05</v>
      </c>
      <c r="F346" s="1">
        <f>IFERROR(AVERAGEIF(PurchaseData!D:D, C346, PurchaseData!F:F) * E346, 0)</f>
        <v>10</v>
      </c>
    </row>
    <row r="347" spans="1:6" x14ac:dyDescent="0.35">
      <c r="A347" s="1" t="s">
        <v>82</v>
      </c>
      <c r="B347" s="1" t="s">
        <v>62</v>
      </c>
      <c r="C347" s="1" t="s">
        <v>34</v>
      </c>
      <c r="D347" s="1" t="s">
        <v>24</v>
      </c>
      <c r="E347" s="9">
        <v>0.5</v>
      </c>
      <c r="F347" s="1">
        <f>IFERROR(AVERAGEIF(PurchaseData!D:D, C347, PurchaseData!F:F) * E347, 0)</f>
        <v>100</v>
      </c>
    </row>
    <row r="348" spans="1:6" x14ac:dyDescent="0.35">
      <c r="A348" s="1" t="s">
        <v>82</v>
      </c>
      <c r="B348" s="1" t="s">
        <v>62</v>
      </c>
      <c r="C348" s="1" t="s">
        <v>40</v>
      </c>
      <c r="D348" s="1" t="s">
        <v>22</v>
      </c>
      <c r="E348" s="9">
        <v>0.25</v>
      </c>
      <c r="F348" s="1">
        <f>IFERROR(AVERAGEIF(PurchaseData!D:D, C348, PurchaseData!F:F) * E348, 0)</f>
        <v>31.25</v>
      </c>
    </row>
    <row r="349" spans="1:6" x14ac:dyDescent="0.35">
      <c r="A349" s="1" t="s">
        <v>82</v>
      </c>
      <c r="B349" s="1" t="s">
        <v>62</v>
      </c>
      <c r="C349" s="1" t="s">
        <v>44</v>
      </c>
      <c r="D349" s="1" t="s">
        <v>45</v>
      </c>
      <c r="E349" s="9">
        <v>0.1</v>
      </c>
      <c r="F349" s="1">
        <f>IFERROR(AVERAGEIF(PurchaseData!D:D, C349, PurchaseData!F:F) * E349, 0)</f>
        <v>16.5</v>
      </c>
    </row>
    <row r="350" spans="1:6" x14ac:dyDescent="0.35">
      <c r="A350" s="1" t="s">
        <v>82</v>
      </c>
      <c r="B350" s="1" t="s">
        <v>62</v>
      </c>
      <c r="C350" s="1" t="s">
        <v>46</v>
      </c>
      <c r="D350" s="1" t="s">
        <v>17</v>
      </c>
      <c r="E350" s="9">
        <v>5</v>
      </c>
      <c r="F350" s="1">
        <f>IFERROR(AVERAGEIF(PurchaseData!D:D, C350, PurchaseData!F:F) * E350, 0)</f>
        <v>0</v>
      </c>
    </row>
    <row r="351" spans="1:6" x14ac:dyDescent="0.35">
      <c r="A351" s="1" t="s">
        <v>82</v>
      </c>
      <c r="B351" s="1" t="s">
        <v>62</v>
      </c>
      <c r="C351" s="1" t="s">
        <v>47</v>
      </c>
      <c r="D351" s="1" t="s">
        <v>19</v>
      </c>
      <c r="E351" s="9">
        <v>0.5</v>
      </c>
      <c r="F351" s="1">
        <f>IFERROR(AVERAGEIF(PurchaseData!D:D, C351, PurchaseData!F:F) * E351, 0)</f>
        <v>5</v>
      </c>
    </row>
    <row r="352" spans="1:6" x14ac:dyDescent="0.35">
      <c r="A352" s="1" t="s">
        <v>82</v>
      </c>
      <c r="B352" s="1" t="s">
        <v>62</v>
      </c>
      <c r="C352" s="1" t="s">
        <v>54</v>
      </c>
      <c r="D352" s="1" t="s">
        <v>29</v>
      </c>
      <c r="E352" s="9">
        <v>0.1</v>
      </c>
      <c r="F352" s="1">
        <f>IFERROR(AVERAGEIF(PurchaseData!D:D, C352, PurchaseData!F:F) * E352, 0)</f>
        <v>85</v>
      </c>
    </row>
    <row r="353" spans="1:6" x14ac:dyDescent="0.35">
      <c r="A353" s="1" t="s">
        <v>16</v>
      </c>
      <c r="B353" s="1" t="s">
        <v>62</v>
      </c>
      <c r="C353" s="1" t="s">
        <v>107</v>
      </c>
      <c r="D353" s="1" t="s">
        <v>108</v>
      </c>
      <c r="E353" s="9">
        <v>15</v>
      </c>
      <c r="F353" s="1">
        <f>IFERROR(AVERAGEIF(PurchaseData!D:D, C353, PurchaseData!F:F) * E353, 0)</f>
        <v>120</v>
      </c>
    </row>
    <row r="354" spans="1:6" x14ac:dyDescent="0.35">
      <c r="A354" s="1" t="s">
        <v>16</v>
      </c>
      <c r="B354" s="1" t="s">
        <v>62</v>
      </c>
      <c r="C354" s="1" t="s">
        <v>109</v>
      </c>
      <c r="D354" s="1" t="s">
        <v>22</v>
      </c>
      <c r="E354" s="9">
        <v>0.2</v>
      </c>
      <c r="F354" s="1">
        <f>IFERROR(AVERAGEIF(PurchaseData!D:D, C354, PurchaseData!F:F) * E354, 0)</f>
        <v>14</v>
      </c>
    </row>
    <row r="355" spans="1:6" x14ac:dyDescent="0.35">
      <c r="A355" s="1" t="s">
        <v>16</v>
      </c>
      <c r="B355" s="1" t="s">
        <v>62</v>
      </c>
      <c r="C355" s="1" t="s">
        <v>110</v>
      </c>
      <c r="D355" s="1" t="s">
        <v>24</v>
      </c>
      <c r="E355" s="9">
        <v>0.3</v>
      </c>
      <c r="F355" s="1">
        <f>IFERROR(AVERAGEIF(PurchaseData!D:D, C355, PurchaseData!F:F) * E355, 0)</f>
        <v>240</v>
      </c>
    </row>
    <row r="356" spans="1:6" x14ac:dyDescent="0.35">
      <c r="A356" s="1" t="s">
        <v>16</v>
      </c>
      <c r="B356" s="1" t="s">
        <v>62</v>
      </c>
      <c r="C356" s="1" t="s">
        <v>111</v>
      </c>
      <c r="D356" s="1" t="s">
        <v>22</v>
      </c>
      <c r="E356" s="9">
        <v>0</v>
      </c>
      <c r="F356" s="1">
        <f>IFERROR(AVERAGEIF(PurchaseData!D:D, C356, PurchaseData!F:F) * E356, 0)</f>
        <v>0</v>
      </c>
    </row>
    <row r="357" spans="1:6" x14ac:dyDescent="0.35">
      <c r="A357" s="1" t="s">
        <v>16</v>
      </c>
      <c r="B357" s="1" t="s">
        <v>62</v>
      </c>
      <c r="C357" s="1" t="s">
        <v>112</v>
      </c>
      <c r="D357" s="1" t="s">
        <v>24</v>
      </c>
      <c r="E357" s="9">
        <v>0.1</v>
      </c>
      <c r="F357" s="1">
        <f>IFERROR(AVERAGEIF(PurchaseData!D:D, C357, PurchaseData!F:F) * E357, 0)</f>
        <v>30</v>
      </c>
    </row>
  </sheetData>
  <autoFilter ref="B1:B357" xr:uid="{EEEA5678-ABCA-4169-81CE-3F52142767FF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B1DA0-7C41-4EAA-8F0C-04010840A56E}">
  <sheetPr codeName="Sheet13"/>
  <dimension ref="A1:F129"/>
  <sheetViews>
    <sheetView workbookViewId="0">
      <selection activeCell="F10" sqref="F10"/>
    </sheetView>
  </sheetViews>
  <sheetFormatPr defaultColWidth="21.54296875" defaultRowHeight="14.5" x14ac:dyDescent="0.35"/>
  <cols>
    <col min="1" max="1" width="10.7265625" style="1" customWidth="1"/>
    <col min="2" max="2" width="29.7265625" style="1" customWidth="1"/>
    <col min="3" max="3" width="14.81640625" style="1" customWidth="1"/>
    <col min="4" max="4" width="9.90625" style="1" customWidth="1"/>
    <col min="5" max="5" width="12.26953125" style="1" customWidth="1"/>
    <col min="6" max="6" width="21.54296875" style="1"/>
    <col min="7" max="7" width="29" style="1" bestFit="1" customWidth="1"/>
    <col min="8" max="16384" width="21.54296875" style="1"/>
  </cols>
  <sheetData>
    <row r="1" spans="1:6" x14ac:dyDescent="0.35">
      <c r="A1" s="15" t="s">
        <v>0</v>
      </c>
      <c r="B1" s="15" t="s">
        <v>78</v>
      </c>
      <c r="C1" s="15" t="s">
        <v>81</v>
      </c>
      <c r="D1" s="15" t="s">
        <v>116</v>
      </c>
      <c r="E1" s="15" t="s">
        <v>117</v>
      </c>
      <c r="F1" s="15" t="s">
        <v>101</v>
      </c>
    </row>
    <row r="2" spans="1:6" x14ac:dyDescent="0.35">
      <c r="A2" s="3">
        <v>46027</v>
      </c>
      <c r="B2" s="1" t="s">
        <v>150</v>
      </c>
      <c r="C2" s="1" t="s">
        <v>166</v>
      </c>
      <c r="D2" s="1">
        <v>0</v>
      </c>
      <c r="E2" s="1">
        <v>155900</v>
      </c>
      <c r="F2" s="1">
        <v>155900</v>
      </c>
    </row>
    <row r="3" spans="1:6" x14ac:dyDescent="0.35">
      <c r="A3" s="3">
        <v>46030</v>
      </c>
      <c r="B3" s="1" t="s">
        <v>154</v>
      </c>
      <c r="C3" s="1" t="s">
        <v>166</v>
      </c>
      <c r="D3" s="1">
        <v>0</v>
      </c>
      <c r="E3" s="1">
        <v>149000</v>
      </c>
      <c r="F3" s="1">
        <v>149000</v>
      </c>
    </row>
    <row r="4" spans="1:6" x14ac:dyDescent="0.35">
      <c r="A4" s="3">
        <v>46029</v>
      </c>
      <c r="B4" s="1" t="s">
        <v>152</v>
      </c>
      <c r="C4" s="1" t="s">
        <v>166</v>
      </c>
      <c r="D4" s="1">
        <v>0</v>
      </c>
      <c r="E4" s="1">
        <v>268000</v>
      </c>
      <c r="F4" s="1">
        <v>268000</v>
      </c>
    </row>
    <row r="5" spans="1:6" x14ac:dyDescent="0.35">
      <c r="A5" s="3">
        <v>46023</v>
      </c>
      <c r="B5" s="1" t="s">
        <v>152</v>
      </c>
      <c r="C5" s="1" t="s">
        <v>166</v>
      </c>
      <c r="D5" s="1">
        <v>0</v>
      </c>
      <c r="E5" s="1">
        <v>272500</v>
      </c>
      <c r="F5" s="1">
        <v>540500</v>
      </c>
    </row>
    <row r="6" spans="1:6" x14ac:dyDescent="0.35">
      <c r="A6" s="3">
        <v>46026</v>
      </c>
      <c r="B6" s="1" t="s">
        <v>150</v>
      </c>
      <c r="C6" s="1" t="s">
        <v>166</v>
      </c>
      <c r="D6" s="1">
        <v>0</v>
      </c>
      <c r="E6" s="1">
        <v>496500</v>
      </c>
      <c r="F6" s="1">
        <v>652400</v>
      </c>
    </row>
    <row r="7" spans="1:6" x14ac:dyDescent="0.35">
      <c r="A7" s="3">
        <v>46023</v>
      </c>
      <c r="B7" s="1" t="s">
        <v>158</v>
      </c>
      <c r="C7" s="1" t="s">
        <v>80</v>
      </c>
      <c r="E7" s="1">
        <v>3600</v>
      </c>
      <c r="F7" s="1">
        <v>3600</v>
      </c>
    </row>
    <row r="8" spans="1:6" x14ac:dyDescent="0.35">
      <c r="A8" s="3">
        <v>46024</v>
      </c>
      <c r="B8" s="1" t="s">
        <v>159</v>
      </c>
      <c r="C8" s="1" t="s">
        <v>80</v>
      </c>
      <c r="E8" s="1">
        <v>5400</v>
      </c>
      <c r="F8" s="1">
        <v>5400</v>
      </c>
    </row>
    <row r="9" spans="1:6" x14ac:dyDescent="0.35">
      <c r="A9" s="3">
        <v>46025</v>
      </c>
      <c r="B9" s="1" t="s">
        <v>164</v>
      </c>
      <c r="C9" s="1" t="s">
        <v>80</v>
      </c>
      <c r="E9" s="1">
        <v>9800</v>
      </c>
      <c r="F9" s="1">
        <v>9800</v>
      </c>
    </row>
    <row r="10" spans="1:6" x14ac:dyDescent="0.35">
      <c r="A10" s="3">
        <v>46027</v>
      </c>
      <c r="B10" s="1" t="s">
        <v>156</v>
      </c>
      <c r="C10" s="1" t="s">
        <v>80</v>
      </c>
      <c r="E10" s="1">
        <v>7400</v>
      </c>
      <c r="F10" s="1">
        <v>7400</v>
      </c>
    </row>
    <row r="11" spans="1:6" x14ac:dyDescent="0.35">
      <c r="A11" s="3">
        <v>46028</v>
      </c>
      <c r="B11" s="1" t="s">
        <v>161</v>
      </c>
      <c r="C11" s="1" t="s">
        <v>80</v>
      </c>
      <c r="E11" s="1">
        <v>3300</v>
      </c>
      <c r="F11" s="1">
        <v>3300</v>
      </c>
    </row>
    <row r="12" spans="1:6" s="11" customFormat="1" x14ac:dyDescent="0.35">
      <c r="A12" s="14">
        <v>46029</v>
      </c>
      <c r="B12" s="11" t="s">
        <v>162</v>
      </c>
      <c r="C12" s="11" t="s">
        <v>80</v>
      </c>
      <c r="E12" s="11">
        <v>5500</v>
      </c>
      <c r="F12" s="11">
        <v>5500</v>
      </c>
    </row>
    <row r="13" spans="1:6" x14ac:dyDescent="0.35">
      <c r="A13" s="3">
        <v>46030</v>
      </c>
      <c r="B13" s="1" t="s">
        <v>156</v>
      </c>
      <c r="C13" s="1" t="s">
        <v>80</v>
      </c>
      <c r="E13" s="1">
        <v>1500</v>
      </c>
      <c r="F13" s="1">
        <v>8900</v>
      </c>
    </row>
    <row r="14" spans="1:6" x14ac:dyDescent="0.35">
      <c r="A14" s="3">
        <v>46023</v>
      </c>
      <c r="B14" s="1" t="s">
        <v>141</v>
      </c>
      <c r="C14" s="1" t="s">
        <v>1</v>
      </c>
      <c r="D14" s="1">
        <v>52500</v>
      </c>
      <c r="F14" s="1">
        <v>52500</v>
      </c>
    </row>
    <row r="15" spans="1:6" x14ac:dyDescent="0.35">
      <c r="A15" s="3">
        <v>46026</v>
      </c>
      <c r="B15" s="1" t="s">
        <v>143</v>
      </c>
      <c r="C15" s="1" t="s">
        <v>1</v>
      </c>
      <c r="D15" s="1">
        <v>35500</v>
      </c>
      <c r="F15" s="1">
        <v>35500</v>
      </c>
    </row>
    <row r="16" spans="1:6" x14ac:dyDescent="0.35">
      <c r="A16" s="3">
        <v>46027</v>
      </c>
      <c r="B16" s="1" t="s">
        <v>141</v>
      </c>
      <c r="C16" s="1" t="s">
        <v>1</v>
      </c>
      <c r="D16" s="1">
        <v>3000</v>
      </c>
      <c r="F16" s="1">
        <v>55500</v>
      </c>
    </row>
    <row r="17" spans="1:6" x14ac:dyDescent="0.35">
      <c r="A17" s="3">
        <v>46023</v>
      </c>
      <c r="B17" s="1" t="s">
        <v>150</v>
      </c>
      <c r="C17" s="1" t="s">
        <v>166</v>
      </c>
      <c r="D17" s="1">
        <v>20000</v>
      </c>
      <c r="F17" s="1">
        <v>632400</v>
      </c>
    </row>
    <row r="18" spans="1:6" x14ac:dyDescent="0.35">
      <c r="A18" s="3">
        <v>46024</v>
      </c>
      <c r="B18" s="1" t="s">
        <v>152</v>
      </c>
      <c r="C18" s="1" t="s">
        <v>166</v>
      </c>
      <c r="D18" s="1">
        <v>50000</v>
      </c>
      <c r="F18" s="1">
        <v>490500</v>
      </c>
    </row>
    <row r="19" spans="1:6" x14ac:dyDescent="0.35">
      <c r="A19" s="3">
        <v>46026</v>
      </c>
      <c r="B19" s="1" t="s">
        <v>141</v>
      </c>
      <c r="C19" s="1" t="s">
        <v>1</v>
      </c>
      <c r="E19" s="1">
        <v>30000</v>
      </c>
      <c r="F19" s="1">
        <v>25500</v>
      </c>
    </row>
    <row r="20" spans="1:6" x14ac:dyDescent="0.35">
      <c r="A20" s="3">
        <v>46026</v>
      </c>
      <c r="B20" s="1" t="s">
        <v>143</v>
      </c>
      <c r="C20" s="1" t="s">
        <v>1</v>
      </c>
      <c r="E20" s="1">
        <v>40000</v>
      </c>
      <c r="F20" s="1">
        <v>-4500</v>
      </c>
    </row>
    <row r="21" spans="1:6" x14ac:dyDescent="0.35">
      <c r="A21" s="3">
        <v>46028</v>
      </c>
      <c r="B21" s="1" t="s">
        <v>156</v>
      </c>
      <c r="C21" s="1" t="s">
        <v>80</v>
      </c>
      <c r="D21" s="1">
        <v>5000</v>
      </c>
      <c r="F21" s="1">
        <v>3900</v>
      </c>
    </row>
    <row r="22" spans="1:6" x14ac:dyDescent="0.35">
      <c r="A22" s="3">
        <v>46028</v>
      </c>
      <c r="B22" s="1" t="s">
        <v>158</v>
      </c>
      <c r="C22" s="1" t="s">
        <v>80</v>
      </c>
      <c r="D22" s="1">
        <v>50000</v>
      </c>
      <c r="F22" s="1">
        <v>-46400</v>
      </c>
    </row>
    <row r="23" spans="1:6" x14ac:dyDescent="0.35">
      <c r="A23" s="3">
        <v>46024</v>
      </c>
      <c r="B23" s="1" t="s">
        <v>150</v>
      </c>
      <c r="C23" s="1" t="s">
        <v>166</v>
      </c>
      <c r="D23" s="1">
        <v>1000000</v>
      </c>
      <c r="F23" s="1">
        <v>-367600</v>
      </c>
    </row>
    <row r="24" spans="1:6" x14ac:dyDescent="0.35">
      <c r="A24" s="3">
        <v>46023</v>
      </c>
      <c r="B24" s="1" t="s">
        <v>141</v>
      </c>
      <c r="C24" s="1" t="s">
        <v>1</v>
      </c>
      <c r="E24" s="1">
        <v>1000000</v>
      </c>
      <c r="F24" s="1">
        <v>-974500</v>
      </c>
    </row>
    <row r="25" spans="1:6" x14ac:dyDescent="0.35">
      <c r="A25" s="3"/>
    </row>
    <row r="26" spans="1:6" x14ac:dyDescent="0.35">
      <c r="A26" s="3"/>
    </row>
    <row r="27" spans="1:6" x14ac:dyDescent="0.35">
      <c r="A27" s="3"/>
    </row>
    <row r="28" spans="1:6" x14ac:dyDescent="0.35">
      <c r="A28" s="3"/>
    </row>
    <row r="29" spans="1:6" x14ac:dyDescent="0.35">
      <c r="A29" s="3"/>
    </row>
    <row r="30" spans="1:6" x14ac:dyDescent="0.35">
      <c r="A30" s="3"/>
    </row>
    <row r="31" spans="1:6" x14ac:dyDescent="0.35">
      <c r="A31" s="3"/>
    </row>
    <row r="32" spans="1:6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  <row r="61" spans="1:1" x14ac:dyDescent="0.35">
      <c r="A61" s="3"/>
    </row>
    <row r="62" spans="1:1" x14ac:dyDescent="0.35">
      <c r="A62" s="3"/>
    </row>
    <row r="63" spans="1:1" x14ac:dyDescent="0.35">
      <c r="A63" s="3"/>
    </row>
    <row r="64" spans="1:1" x14ac:dyDescent="0.35">
      <c r="A64" s="3"/>
    </row>
    <row r="65" spans="1:1" x14ac:dyDescent="0.35">
      <c r="A65" s="3"/>
    </row>
    <row r="66" spans="1:1" x14ac:dyDescent="0.35">
      <c r="A66" s="3"/>
    </row>
    <row r="67" spans="1:1" x14ac:dyDescent="0.35">
      <c r="A67" s="3"/>
    </row>
    <row r="68" spans="1:1" x14ac:dyDescent="0.35">
      <c r="A68" s="3"/>
    </row>
    <row r="69" spans="1:1" x14ac:dyDescent="0.35">
      <c r="A69" s="3"/>
    </row>
    <row r="70" spans="1:1" x14ac:dyDescent="0.35">
      <c r="A70" s="3"/>
    </row>
    <row r="71" spans="1:1" x14ac:dyDescent="0.35">
      <c r="A71" s="3"/>
    </row>
    <row r="72" spans="1:1" x14ac:dyDescent="0.35">
      <c r="A72" s="3"/>
    </row>
    <row r="73" spans="1:1" x14ac:dyDescent="0.35">
      <c r="A73" s="3"/>
    </row>
    <row r="74" spans="1:1" x14ac:dyDescent="0.35">
      <c r="A74" s="3"/>
    </row>
    <row r="75" spans="1:1" x14ac:dyDescent="0.35">
      <c r="A75" s="3"/>
    </row>
    <row r="76" spans="1:1" x14ac:dyDescent="0.35">
      <c r="A76" s="3"/>
    </row>
    <row r="77" spans="1:1" x14ac:dyDescent="0.35">
      <c r="A77" s="3"/>
    </row>
    <row r="78" spans="1:1" x14ac:dyDescent="0.35">
      <c r="A78" s="3"/>
    </row>
    <row r="79" spans="1:1" x14ac:dyDescent="0.35">
      <c r="A79" s="3"/>
    </row>
    <row r="80" spans="1:1" x14ac:dyDescent="0.35">
      <c r="A80" s="3"/>
    </row>
    <row r="81" spans="1:1" x14ac:dyDescent="0.35">
      <c r="A81" s="3"/>
    </row>
    <row r="82" spans="1:1" x14ac:dyDescent="0.35">
      <c r="A82" s="3"/>
    </row>
    <row r="83" spans="1:1" x14ac:dyDescent="0.35">
      <c r="A83" s="3"/>
    </row>
    <row r="84" spans="1:1" x14ac:dyDescent="0.35">
      <c r="A84" s="3"/>
    </row>
    <row r="85" spans="1:1" x14ac:dyDescent="0.35">
      <c r="A85" s="3"/>
    </row>
    <row r="86" spans="1:1" x14ac:dyDescent="0.35">
      <c r="A86" s="3"/>
    </row>
    <row r="87" spans="1:1" x14ac:dyDescent="0.35">
      <c r="A87" s="3"/>
    </row>
    <row r="88" spans="1:1" x14ac:dyDescent="0.35">
      <c r="A88" s="3"/>
    </row>
    <row r="89" spans="1:1" x14ac:dyDescent="0.35">
      <c r="A89" s="3"/>
    </row>
    <row r="90" spans="1:1" x14ac:dyDescent="0.35">
      <c r="A90" s="3"/>
    </row>
    <row r="91" spans="1:1" x14ac:dyDescent="0.35">
      <c r="A91" s="3"/>
    </row>
    <row r="92" spans="1:1" x14ac:dyDescent="0.35">
      <c r="A92" s="3"/>
    </row>
    <row r="93" spans="1:1" x14ac:dyDescent="0.35">
      <c r="A93" s="3"/>
    </row>
    <row r="94" spans="1:1" x14ac:dyDescent="0.35">
      <c r="A94" s="3"/>
    </row>
    <row r="95" spans="1:1" x14ac:dyDescent="0.35">
      <c r="A95" s="3"/>
    </row>
    <row r="96" spans="1:1" s="11" customFormat="1" x14ac:dyDescent="0.35">
      <c r="A96" s="14"/>
    </row>
    <row r="97" spans="1:1" x14ac:dyDescent="0.35">
      <c r="A97" s="3"/>
    </row>
    <row r="98" spans="1:1" x14ac:dyDescent="0.35">
      <c r="A98" s="3"/>
    </row>
    <row r="99" spans="1:1" x14ac:dyDescent="0.35">
      <c r="A99" s="3"/>
    </row>
    <row r="100" spans="1:1" x14ac:dyDescent="0.35">
      <c r="A100" s="3"/>
    </row>
    <row r="101" spans="1:1" x14ac:dyDescent="0.35">
      <c r="A101" s="3"/>
    </row>
    <row r="102" spans="1:1" x14ac:dyDescent="0.35">
      <c r="A102" s="3"/>
    </row>
    <row r="103" spans="1:1" x14ac:dyDescent="0.35">
      <c r="A103" s="3"/>
    </row>
    <row r="104" spans="1:1" x14ac:dyDescent="0.35">
      <c r="A104" s="3"/>
    </row>
    <row r="105" spans="1:1" x14ac:dyDescent="0.35">
      <c r="A105" s="3"/>
    </row>
    <row r="106" spans="1:1" x14ac:dyDescent="0.35">
      <c r="A106" s="3"/>
    </row>
    <row r="107" spans="1:1" x14ac:dyDescent="0.35">
      <c r="A107" s="3"/>
    </row>
    <row r="108" spans="1:1" x14ac:dyDescent="0.35">
      <c r="A108" s="3"/>
    </row>
    <row r="109" spans="1:1" x14ac:dyDescent="0.35">
      <c r="A109" s="3"/>
    </row>
    <row r="110" spans="1:1" x14ac:dyDescent="0.35">
      <c r="A110" s="3"/>
    </row>
    <row r="111" spans="1:1" x14ac:dyDescent="0.35">
      <c r="A111" s="3"/>
    </row>
    <row r="112" spans="1:1" x14ac:dyDescent="0.35">
      <c r="A112" s="3"/>
    </row>
    <row r="113" spans="1:1" x14ac:dyDescent="0.35">
      <c r="A113" s="3"/>
    </row>
    <row r="114" spans="1:1" x14ac:dyDescent="0.35">
      <c r="A114" s="3"/>
    </row>
    <row r="115" spans="1:1" x14ac:dyDescent="0.35">
      <c r="A115" s="3"/>
    </row>
    <row r="116" spans="1:1" x14ac:dyDescent="0.35">
      <c r="A116" s="3"/>
    </row>
    <row r="117" spans="1:1" x14ac:dyDescent="0.35">
      <c r="A117" s="3"/>
    </row>
    <row r="118" spans="1:1" x14ac:dyDescent="0.35">
      <c r="A118" s="3"/>
    </row>
    <row r="119" spans="1:1" x14ac:dyDescent="0.35">
      <c r="A119" s="3"/>
    </row>
    <row r="120" spans="1:1" x14ac:dyDescent="0.35">
      <c r="A120" s="3"/>
    </row>
    <row r="121" spans="1:1" x14ac:dyDescent="0.35">
      <c r="A121" s="3"/>
    </row>
    <row r="122" spans="1:1" x14ac:dyDescent="0.35">
      <c r="A122" s="3"/>
    </row>
    <row r="123" spans="1:1" x14ac:dyDescent="0.35">
      <c r="A123" s="3"/>
    </row>
    <row r="124" spans="1:1" x14ac:dyDescent="0.35">
      <c r="A124" s="3"/>
    </row>
    <row r="125" spans="1:1" x14ac:dyDescent="0.35">
      <c r="A125" s="3"/>
    </row>
    <row r="126" spans="1:1" x14ac:dyDescent="0.35">
      <c r="A126" s="3"/>
    </row>
    <row r="127" spans="1:1" x14ac:dyDescent="0.35">
      <c r="A127" s="3"/>
    </row>
    <row r="128" spans="1:1" x14ac:dyDescent="0.35">
      <c r="A128" s="3"/>
    </row>
    <row r="129" spans="1:1" x14ac:dyDescent="0.35">
      <c r="A129" s="3"/>
    </row>
  </sheetData>
  <autoFilter ref="B1:B84" xr:uid="{F5AB1DA0-7C41-4EAA-8F0C-04010840A56E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FB1D5-BD65-436D-A8A1-026AEEC10E05}">
  <sheetPr codeName="Sheet14"/>
  <dimension ref="A1:F7"/>
  <sheetViews>
    <sheetView workbookViewId="0">
      <selection activeCell="D13" sqref="D13"/>
    </sheetView>
  </sheetViews>
  <sheetFormatPr defaultRowHeight="14.5" x14ac:dyDescent="0.35"/>
  <cols>
    <col min="1" max="1" width="18.6328125" style="1" customWidth="1"/>
    <col min="2" max="2" width="31.1796875" style="1" customWidth="1"/>
    <col min="3" max="3" width="26" style="1" customWidth="1"/>
    <col min="4" max="4" width="23.453125" style="1" customWidth="1"/>
    <col min="5" max="5" width="22.26953125" style="1" customWidth="1"/>
    <col min="6" max="6" width="36.90625" style="1" customWidth="1"/>
    <col min="7" max="16384" width="8.7265625" style="1"/>
  </cols>
  <sheetData>
    <row r="1" spans="1:6" x14ac:dyDescent="0.35">
      <c r="A1" s="15" t="s">
        <v>0</v>
      </c>
      <c r="B1" s="15" t="s">
        <v>127</v>
      </c>
      <c r="C1" s="15" t="s">
        <v>129</v>
      </c>
      <c r="D1" s="15" t="s">
        <v>128</v>
      </c>
      <c r="E1" s="15" t="s">
        <v>5</v>
      </c>
      <c r="F1" s="15" t="s">
        <v>70</v>
      </c>
    </row>
    <row r="2" spans="1:6" x14ac:dyDescent="0.35">
      <c r="A2" s="3">
        <v>46023</v>
      </c>
      <c r="B2" s="1" t="s">
        <v>130</v>
      </c>
      <c r="D2" s="1" t="s">
        <v>170</v>
      </c>
      <c r="E2" s="1">
        <v>2000</v>
      </c>
    </row>
    <row r="3" spans="1:6" x14ac:dyDescent="0.35">
      <c r="A3" s="3">
        <v>46024</v>
      </c>
      <c r="B3" s="1" t="s">
        <v>131</v>
      </c>
      <c r="D3" s="1" t="s">
        <v>171</v>
      </c>
      <c r="E3" s="1">
        <v>2000</v>
      </c>
    </row>
    <row r="4" spans="1:6" x14ac:dyDescent="0.35">
      <c r="A4" s="3"/>
    </row>
    <row r="5" spans="1:6" x14ac:dyDescent="0.35">
      <c r="A5" s="3"/>
    </row>
    <row r="6" spans="1:6" x14ac:dyDescent="0.35">
      <c r="A6" s="3"/>
    </row>
    <row r="7" spans="1:6" x14ac:dyDescent="0.35">
      <c r="A7" s="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16262-86AC-41CB-8B65-036492F231D2}">
  <sheetPr codeName="Sheet15"/>
  <dimension ref="A1:F3"/>
  <sheetViews>
    <sheetView tabSelected="1" workbookViewId="0">
      <selection activeCell="D15" sqref="D15"/>
    </sheetView>
  </sheetViews>
  <sheetFormatPr defaultRowHeight="14.5" x14ac:dyDescent="0.35"/>
  <cols>
    <col min="1" max="1" width="16.26953125" style="3" customWidth="1"/>
    <col min="2" max="2" width="19.90625" style="1" customWidth="1"/>
    <col min="3" max="3" width="23.81640625" style="1" customWidth="1"/>
    <col min="4" max="4" width="13.26953125" style="1" customWidth="1"/>
    <col min="5" max="5" width="20.6328125" style="1" customWidth="1"/>
    <col min="6" max="6" width="20.81640625" style="1" customWidth="1"/>
    <col min="7" max="16384" width="8.7265625" style="1"/>
  </cols>
  <sheetData>
    <row r="1" spans="1:6" x14ac:dyDescent="0.35">
      <c r="A1" s="17" t="s">
        <v>0</v>
      </c>
      <c r="B1" s="4" t="s">
        <v>77</v>
      </c>
      <c r="C1" s="4" t="s">
        <v>139</v>
      </c>
      <c r="D1" s="4" t="s">
        <v>5</v>
      </c>
      <c r="E1" s="4" t="s">
        <v>70</v>
      </c>
      <c r="F1" s="4" t="s">
        <v>140</v>
      </c>
    </row>
    <row r="2" spans="1:6" x14ac:dyDescent="0.35">
      <c r="A2" s="3">
        <v>46024</v>
      </c>
      <c r="B2" s="1" t="s">
        <v>172</v>
      </c>
      <c r="C2" s="1" t="s">
        <v>131</v>
      </c>
      <c r="D2" s="1">
        <v>2000</v>
      </c>
      <c r="F2" s="1" t="s">
        <v>173</v>
      </c>
    </row>
    <row r="3" spans="1:6" x14ac:dyDescent="0.35">
      <c r="A3" s="3">
        <v>46024</v>
      </c>
      <c r="B3" s="1" t="s">
        <v>174</v>
      </c>
      <c r="C3" s="1" t="s">
        <v>175</v>
      </c>
      <c r="D3" s="1">
        <v>10000</v>
      </c>
      <c r="F3" s="1" t="s">
        <v>176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Excel 4.0 Macros</vt:lpstr>
      </vt:variant>
      <vt:variant>
        <vt:i4>1</vt:i4>
      </vt:variant>
    </vt:vector>
  </HeadingPairs>
  <TitlesOfParts>
    <vt:vector size="16" baseType="lpstr">
      <vt:lpstr>CustomerList</vt:lpstr>
      <vt:lpstr>SofaModel</vt:lpstr>
      <vt:lpstr>SupplierList</vt:lpstr>
      <vt:lpstr>LabourList</vt:lpstr>
      <vt:lpstr>RawMaterials</vt:lpstr>
      <vt:lpstr>SalesData</vt:lpstr>
      <vt:lpstr>PurchaseData</vt:lpstr>
      <vt:lpstr>PaymentData</vt:lpstr>
      <vt:lpstr>ProductionData</vt:lpstr>
      <vt:lpstr>RawMaterialStock</vt:lpstr>
      <vt:lpstr>FinishedStock</vt:lpstr>
      <vt:lpstr>BOM</vt:lpstr>
      <vt:lpstr>OutstandingLedger</vt:lpstr>
      <vt:lpstr>ExpenseData</vt:lpstr>
      <vt:lpstr>CashLedger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2026-07-18T11:30:05Z</dcterms:modified>
</cp:coreProperties>
</file>